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entanalytics-my.sharepoint.com/personal/eculp_cogentanalytics_com/Documents/Cardinal Transportation, LTD/M&amp;A/"/>
    </mc:Choice>
  </mc:AlternateContent>
  <xr:revisionPtr revIDLastSave="586" documentId="8_{27ACDB72-44DE-439F-9BE0-C3D21969FC91}" xr6:coauthVersionLast="47" xr6:coauthVersionMax="47" xr10:uidLastSave="{5431895D-7DCC-4064-BA9B-E0A17E71637E}"/>
  <bookViews>
    <workbookView minimized="1" xWindow="1440" yWindow="2080" windowWidth="14400" windowHeight="8710" xr2:uid="{38B2BA1E-4E02-4C6E-9030-EF8151C70F00}"/>
  </bookViews>
  <sheets>
    <sheet name="Display" sheetId="2" r:id="rId1"/>
    <sheet name="Per Loan" sheetId="4" r:id="rId2"/>
    <sheet name="Buckeye P&amp;L" sheetId="5" r:id="rId3"/>
    <sheet name="Input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M16" i="5"/>
  <c r="K25" i="2"/>
  <c r="L25" i="2"/>
  <c r="M25" i="2"/>
  <c r="N25" i="2"/>
  <c r="J25" i="2"/>
  <c r="J26" i="2"/>
  <c r="I32" i="2"/>
  <c r="I31" i="2"/>
  <c r="I26" i="2"/>
  <c r="K17" i="5"/>
  <c r="D11" i="2"/>
  <c r="C37" i="1"/>
  <c r="G8" i="5"/>
  <c r="G3" i="5"/>
  <c r="G5" i="5" s="1"/>
  <c r="H5" i="5" s="1"/>
  <c r="C8" i="5"/>
  <c r="E8" i="5"/>
  <c r="P11" i="5"/>
  <c r="P7" i="5"/>
  <c r="P6" i="5"/>
  <c r="P5" i="5"/>
  <c r="N6" i="5"/>
  <c r="N5" i="5"/>
  <c r="L6" i="5"/>
  <c r="J6" i="5"/>
  <c r="H6" i="5"/>
  <c r="F6" i="5"/>
  <c r="D6" i="5"/>
  <c r="O8" i="5"/>
  <c r="O4" i="5"/>
  <c r="O3" i="5"/>
  <c r="K11" i="5"/>
  <c r="L11" i="5" s="1"/>
  <c r="M11" i="5"/>
  <c r="J9" i="2" s="1"/>
  <c r="E5" i="5"/>
  <c r="E7" i="5" s="1"/>
  <c r="I5" i="5"/>
  <c r="I7" i="5" s="1"/>
  <c r="J7" i="5" s="1"/>
  <c r="K5" i="5"/>
  <c r="K7" i="5" s="1"/>
  <c r="L7" i="5" s="1"/>
  <c r="M5" i="5"/>
  <c r="M7" i="5" s="1"/>
  <c r="N7" i="5" s="1"/>
  <c r="C5" i="5"/>
  <c r="C7" i="5" s="1"/>
  <c r="D7" i="5" s="1"/>
  <c r="E11" i="5" l="1"/>
  <c r="F11" i="5" s="1"/>
  <c r="N11" i="5"/>
  <c r="I11" i="5"/>
  <c r="J11" i="5" s="1"/>
  <c r="D5" i="5"/>
  <c r="L5" i="5"/>
  <c r="G7" i="5"/>
  <c r="G11" i="5" s="1"/>
  <c r="H11" i="5" s="1"/>
  <c r="C11" i="5"/>
  <c r="D11" i="5" s="1"/>
  <c r="J5" i="5"/>
  <c r="H7" i="5"/>
  <c r="F5" i="5"/>
  <c r="F7" i="5"/>
  <c r="O5" i="5"/>
  <c r="O7" i="5" s="1"/>
  <c r="O11" i="5" s="1"/>
  <c r="K22" i="1" l="1"/>
  <c r="C14" i="2" l="1"/>
  <c r="C15" i="2"/>
  <c r="K5" i="2"/>
  <c r="K28" i="2" s="1"/>
  <c r="K7" i="2"/>
  <c r="K4" i="2"/>
  <c r="K27" i="2" s="1"/>
  <c r="J7" i="2"/>
  <c r="J30" i="2" s="1"/>
  <c r="J5" i="2"/>
  <c r="J28" i="2" s="1"/>
  <c r="J4" i="2"/>
  <c r="J27" i="2" s="1"/>
  <c r="F6" i="2"/>
  <c r="F15" i="2" s="1"/>
  <c r="F15" i="1"/>
  <c r="E4" i="2"/>
  <c r="E5" i="2"/>
  <c r="E6" i="2"/>
  <c r="D4" i="2"/>
  <c r="I4" i="2" s="1"/>
  <c r="I27" i="2" s="1"/>
  <c r="D5" i="2"/>
  <c r="I5" i="2" s="1"/>
  <c r="I28" i="2" s="1"/>
  <c r="D6" i="2"/>
  <c r="I6" i="2" s="1"/>
  <c r="I29" i="2" s="1"/>
  <c r="F7" i="2"/>
  <c r="F16" i="2" s="1"/>
  <c r="E7" i="2"/>
  <c r="D7" i="2"/>
  <c r="I7" i="2" s="1"/>
  <c r="I30" i="2" s="1"/>
  <c r="F17" i="2" l="1"/>
  <c r="L5" i="2"/>
  <c r="L7" i="2"/>
  <c r="K30" i="2"/>
  <c r="L4" i="2"/>
  <c r="L27" i="2" s="1"/>
  <c r="M4" i="2"/>
  <c r="M27" i="2" s="1"/>
  <c r="B2" i="4"/>
  <c r="C6" i="4"/>
  <c r="C15" i="4" s="1"/>
  <c r="C5" i="4"/>
  <c r="C14" i="4" s="1"/>
  <c r="C4" i="4"/>
  <c r="D30" i="1"/>
  <c r="C3" i="4"/>
  <c r="C12" i="4" s="1"/>
  <c r="F6" i="4"/>
  <c r="F5" i="4"/>
  <c r="F4" i="4"/>
  <c r="F3" i="4"/>
  <c r="E2" i="4"/>
  <c r="E5" i="4"/>
  <c r="B5" i="4" s="1"/>
  <c r="B14" i="4" s="1"/>
  <c r="E7" i="4"/>
  <c r="B7" i="4" s="1"/>
  <c r="B16" i="4" s="1"/>
  <c r="I5" i="4"/>
  <c r="H4" i="4"/>
  <c r="E4" i="4" s="1"/>
  <c r="B4" i="4" s="1"/>
  <c r="B13" i="4" s="1"/>
  <c r="H5" i="4"/>
  <c r="H6" i="4"/>
  <c r="E6" i="4" s="1"/>
  <c r="B6" i="4" s="1"/>
  <c r="B15" i="4" s="1"/>
  <c r="H7" i="4"/>
  <c r="H8" i="4"/>
  <c r="E8" i="4" s="1"/>
  <c r="B8" i="4" s="1"/>
  <c r="B17" i="4" s="1"/>
  <c r="H3" i="4"/>
  <c r="E3" i="4" s="1"/>
  <c r="B3" i="4" s="1"/>
  <c r="B12" i="4" s="1"/>
  <c r="H2" i="4"/>
  <c r="K2" i="4"/>
  <c r="L6" i="4"/>
  <c r="L5" i="4"/>
  <c r="L4" i="4"/>
  <c r="L3" i="4"/>
  <c r="H6" i="1"/>
  <c r="H7" i="1"/>
  <c r="H8" i="1"/>
  <c r="H5" i="1"/>
  <c r="F16" i="1"/>
  <c r="C16" i="1"/>
  <c r="C16" i="2" s="1"/>
  <c r="C8" i="1"/>
  <c r="C13" i="2"/>
  <c r="E6" i="1"/>
  <c r="E14" i="1" s="1"/>
  <c r="E17" i="1" s="1"/>
  <c r="F11" i="2"/>
  <c r="K9" i="2"/>
  <c r="F26" i="1"/>
  <c r="J10" i="1"/>
  <c r="M5" i="1"/>
  <c r="L5" i="1"/>
  <c r="K5" i="1"/>
  <c r="J5" i="1"/>
  <c r="I5" i="1"/>
  <c r="F13" i="1"/>
  <c r="F11" i="1"/>
  <c r="M7" i="2" l="1"/>
  <c r="L30" i="2"/>
  <c r="M5" i="2"/>
  <c r="L28" i="2"/>
  <c r="L9" i="2"/>
  <c r="L26" i="2" s="1"/>
  <c r="K26" i="2"/>
  <c r="N4" i="2"/>
  <c r="N27" i="2" s="1"/>
  <c r="E20" i="4"/>
  <c r="B20" i="4" s="1"/>
  <c r="B11" i="4"/>
  <c r="E22" i="4"/>
  <c r="B22" i="4" s="1"/>
  <c r="E23" i="4"/>
  <c r="B23" i="4" s="1"/>
  <c r="E21" i="4"/>
  <c r="B21" i="4" s="1"/>
  <c r="C17" i="4"/>
  <c r="I3" i="4"/>
  <c r="I7" i="4" s="1"/>
  <c r="I8" i="4" s="1"/>
  <c r="D6" i="1"/>
  <c r="F21" i="1"/>
  <c r="B16" i="1" s="1"/>
  <c r="C7" i="4"/>
  <c r="C8" i="4" s="1"/>
  <c r="F20" i="4" s="1"/>
  <c r="F17" i="1"/>
  <c r="F19" i="1" s="1"/>
  <c r="F7" i="4"/>
  <c r="F8" i="4" s="1"/>
  <c r="L7" i="4"/>
  <c r="L8" i="4" s="1"/>
  <c r="F4" i="2"/>
  <c r="F13" i="2" s="1"/>
  <c r="F5" i="2"/>
  <c r="E14" i="2" s="1"/>
  <c r="E17" i="2" s="1"/>
  <c r="K10" i="1"/>
  <c r="M9" i="2"/>
  <c r="M26" i="2" s="1"/>
  <c r="F30" i="1" l="1"/>
  <c r="N5" i="2"/>
  <c r="N28" i="2" s="1"/>
  <c r="M28" i="2"/>
  <c r="N7" i="2"/>
  <c r="N30" i="2" s="1"/>
  <c r="M30" i="2"/>
  <c r="C21" i="4"/>
  <c r="C23" i="4"/>
  <c r="I7" i="1"/>
  <c r="J7" i="1" s="1"/>
  <c r="K7" i="1" s="1"/>
  <c r="L7" i="1" s="1"/>
  <c r="M7" i="1" s="1"/>
  <c r="C22" i="4"/>
  <c r="C16" i="4"/>
  <c r="C20" i="4"/>
  <c r="I22" i="1"/>
  <c r="B13" i="1"/>
  <c r="B14" i="1"/>
  <c r="B15" i="1"/>
  <c r="F22" i="4"/>
  <c r="K6" i="2" s="1"/>
  <c r="K29" i="2" s="1"/>
  <c r="K31" i="2" s="1"/>
  <c r="J8" i="1"/>
  <c r="K8" i="1"/>
  <c r="L8" i="1"/>
  <c r="M8" i="1"/>
  <c r="I8" i="1"/>
  <c r="F23" i="4"/>
  <c r="L10" i="1"/>
  <c r="F19" i="2"/>
  <c r="I6" i="1"/>
  <c r="F21" i="4"/>
  <c r="F21" i="2"/>
  <c r="I21" i="1"/>
  <c r="N9" i="2"/>
  <c r="N26" i="2" s="1"/>
  <c r="C24" i="4" l="1"/>
  <c r="C25" i="4" s="1"/>
  <c r="J6" i="2"/>
  <c r="L6" i="2"/>
  <c r="L29" i="2" s="1"/>
  <c r="L31" i="2" s="1"/>
  <c r="K8" i="2"/>
  <c r="B21" i="1"/>
  <c r="M14" i="1" s="1"/>
  <c r="F24" i="4"/>
  <c r="F25" i="4" s="1"/>
  <c r="K14" i="1"/>
  <c r="J6" i="1"/>
  <c r="I9" i="1"/>
  <c r="I12" i="1" s="1"/>
  <c r="M10" i="1"/>
  <c r="B23" i="1"/>
  <c r="J8" i="2" l="1"/>
  <c r="J29" i="2"/>
  <c r="J31" i="2" s="1"/>
  <c r="J10" i="2"/>
  <c r="J13" i="2"/>
  <c r="J14" i="1"/>
  <c r="I14" i="1"/>
  <c r="L14" i="1"/>
  <c r="K10" i="2"/>
  <c r="K32" i="2" s="1"/>
  <c r="K13" i="2"/>
  <c r="M6" i="2"/>
  <c r="M29" i="2" s="1"/>
  <c r="M31" i="2" s="1"/>
  <c r="L8" i="2"/>
  <c r="K6" i="1"/>
  <c r="J9" i="1"/>
  <c r="J12" i="1" s="1"/>
  <c r="I11" i="1"/>
  <c r="J11" i="2" l="1"/>
  <c r="J33" i="2" s="1"/>
  <c r="J32" i="2"/>
  <c r="L13" i="2"/>
  <c r="L10" i="2"/>
  <c r="N6" i="2"/>
  <c r="M8" i="2"/>
  <c r="M10" i="2" s="1"/>
  <c r="K11" i="2"/>
  <c r="K33" i="2" s="1"/>
  <c r="L6" i="1"/>
  <c r="K9" i="1"/>
  <c r="K12" i="1" s="1"/>
  <c r="I13" i="1"/>
  <c r="J11" i="1"/>
  <c r="J13" i="1" s="1"/>
  <c r="N8" i="2" l="1"/>
  <c r="N10" i="2" s="1"/>
  <c r="N29" i="2"/>
  <c r="N31" i="2" s="1"/>
  <c r="M11" i="2"/>
  <c r="M33" i="2" s="1"/>
  <c r="M32" i="2"/>
  <c r="L11" i="2"/>
  <c r="L33" i="2" s="1"/>
  <c r="L32" i="2"/>
  <c r="N13" i="2"/>
  <c r="M13" i="2"/>
  <c r="M6" i="1"/>
  <c r="M9" i="1" s="1"/>
  <c r="M12" i="1" s="1"/>
  <c r="L9" i="1"/>
  <c r="L12" i="1" s="1"/>
  <c r="K11" i="1"/>
  <c r="K13" i="1" s="1"/>
  <c r="N32" i="2" l="1"/>
  <c r="N11" i="2"/>
  <c r="N33" i="2" s="1"/>
  <c r="L11" i="1"/>
  <c r="L13" i="1" s="1"/>
  <c r="M11" i="1"/>
  <c r="M13" i="1" l="1"/>
</calcChain>
</file>

<file path=xl/sharedStrings.xml><?xml version="1.0" encoding="utf-8"?>
<sst xmlns="http://schemas.openxmlformats.org/spreadsheetml/2006/main" count="75" uniqueCount="58">
  <si>
    <t>Rate</t>
  </si>
  <si>
    <t>RE Loan</t>
  </si>
  <si>
    <t>Seller Fin</t>
  </si>
  <si>
    <t>Cash To Closing</t>
  </si>
  <si>
    <t>RE</t>
  </si>
  <si>
    <t>Total Purchase Price</t>
  </si>
  <si>
    <t>Total RE Price</t>
  </si>
  <si>
    <t>Operating Business Price</t>
  </si>
  <si>
    <t>Total Amount Financed</t>
  </si>
  <si>
    <t>Year 1</t>
  </si>
  <si>
    <t>Year 2</t>
  </si>
  <si>
    <t>Debt Service</t>
  </si>
  <si>
    <t>Net Cash Flow</t>
  </si>
  <si>
    <t>Year 3</t>
  </si>
  <si>
    <t>Year 4</t>
  </si>
  <si>
    <t>Year 5</t>
  </si>
  <si>
    <t>EBITDA @ 3% Growth</t>
  </si>
  <si>
    <t>ROI</t>
  </si>
  <si>
    <t>Equity</t>
  </si>
  <si>
    <t>Debt</t>
  </si>
  <si>
    <t>Cost of Equity</t>
  </si>
  <si>
    <t>Weighted Rate</t>
  </si>
  <si>
    <t>Tax-Rate</t>
  </si>
  <si>
    <t>After Tax RD</t>
  </si>
  <si>
    <t>Appraised RE Value</t>
  </si>
  <si>
    <t>LTV</t>
  </si>
  <si>
    <t>OG 5th 3rd LOC</t>
  </si>
  <si>
    <t>OG 5th 3rd LOC I/O for 12 Months</t>
  </si>
  <si>
    <t>Original Principal</t>
  </si>
  <si>
    <t>Term (Years)</t>
  </si>
  <si>
    <t>Payments per Year</t>
  </si>
  <si>
    <t>Monthly Payment</t>
  </si>
  <si>
    <t>Annual DS</t>
  </si>
  <si>
    <t>DSC</t>
  </si>
  <si>
    <t>Amount</t>
  </si>
  <si>
    <t>I/O 12 Month Period</t>
  </si>
  <si>
    <t>Termed Out Annual Debt Service</t>
  </si>
  <si>
    <t>I/O Period Annual Debt Service</t>
  </si>
  <si>
    <t>Annual Termed Out Total Debt Service</t>
  </si>
  <si>
    <t>Annual I/O Period Out Total Debt Service</t>
  </si>
  <si>
    <t>Monthly I/O Period Out Total Debt Service</t>
  </si>
  <si>
    <t>Monthly Termed Out Total Debt Service</t>
  </si>
  <si>
    <t>Monthly Debt Service</t>
  </si>
  <si>
    <t xml:space="preserve">Annual Debt Service </t>
  </si>
  <si>
    <t xml:space="preserve"> </t>
  </si>
  <si>
    <t>5th 3rd LOC/Loan</t>
  </si>
  <si>
    <t>Line Item</t>
  </si>
  <si>
    <t>2025 YTD</t>
  </si>
  <si>
    <t>Revenue</t>
  </si>
  <si>
    <t>COGS</t>
  </si>
  <si>
    <t>Gross Profit</t>
  </si>
  <si>
    <t>Expenses</t>
  </si>
  <si>
    <t>Net Profit</t>
  </si>
  <si>
    <t>Owner Comp</t>
  </si>
  <si>
    <t>Interest</t>
  </si>
  <si>
    <t>Dep + Amort</t>
  </si>
  <si>
    <t>EBIDA</t>
  </si>
  <si>
    <t>Cumulative ROI (cash-on-cash vs. cash-to-close $459,500)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</si>
</sst>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9.6"/>
      <color theme="1"/>
      <name val="Segoe UI"/>
      <family val="2"/>
    </font>
    <font>
      <sz val="8"/>
      <color theme="5"/>
      <name val="Segoe UI"/>
      <family val="2"/>
    </font>
    <font>
      <sz val="8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164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1" xfId="0" applyNumberFormat="1" applyBorder="1"/>
    <xf numFmtId="0" fontId="3" fillId="0" borderId="0" xfId="0" applyFont="1" applyAlignment="1">
      <alignment horizontal="right"/>
    </xf>
    <xf numFmtId="10" fontId="3" fillId="0" borderId="0" xfId="2" applyNumberFormat="1" applyFont="1" applyFill="1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4" xfId="2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3" xfId="2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0" fontId="0" fillId="0" borderId="0" xfId="0" applyNumberFormat="1"/>
    <xf numFmtId="0" fontId="0" fillId="0" borderId="7" xfId="0" applyBorder="1"/>
    <xf numFmtId="0" fontId="0" fillId="0" borderId="8" xfId="0" applyBorder="1"/>
    <xf numFmtId="10" fontId="0" fillId="0" borderId="8" xfId="0" applyNumberFormat="1" applyBorder="1"/>
    <xf numFmtId="8" fontId="0" fillId="0" borderId="8" xfId="0" applyNumberFormat="1" applyBorder="1"/>
    <xf numFmtId="0" fontId="0" fillId="0" borderId="9" xfId="0" applyBorder="1" applyAlignment="1">
      <alignment horizontal="right" indent="2"/>
    </xf>
    <xf numFmtId="6" fontId="0" fillId="0" borderId="8" xfId="0" applyNumberFormat="1" applyBorder="1"/>
    <xf numFmtId="6" fontId="0" fillId="0" borderId="10" xfId="0" applyNumberFormat="1" applyBorder="1"/>
    <xf numFmtId="0" fontId="0" fillId="0" borderId="9" xfId="0" applyBorder="1" applyAlignment="1">
      <alignment horizontal="right"/>
    </xf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5" fillId="0" borderId="5" xfId="0" applyFont="1" applyBorder="1"/>
    <xf numFmtId="0" fontId="0" fillId="2" borderId="0" xfId="0" applyFill="1" applyAlignment="1">
      <alignment horizontal="right"/>
    </xf>
    <xf numFmtId="2" fontId="0" fillId="2" borderId="0" xfId="0" applyNumberFormat="1" applyFill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0" fillId="0" borderId="8" xfId="1" applyNumberFormat="1" applyFont="1" applyBorder="1"/>
    <xf numFmtId="165" fontId="0" fillId="0" borderId="8" xfId="0" applyNumberFormat="1" applyBorder="1"/>
    <xf numFmtId="0" fontId="5" fillId="3" borderId="6" xfId="0" applyFont="1" applyFill="1" applyBorder="1"/>
    <xf numFmtId="165" fontId="0" fillId="3" borderId="8" xfId="0" applyNumberFormat="1" applyFill="1" applyBorder="1"/>
    <xf numFmtId="0" fontId="0" fillId="3" borderId="8" xfId="0" applyFill="1" applyBorder="1"/>
    <xf numFmtId="10" fontId="0" fillId="3" borderId="8" xfId="0" applyNumberFormat="1" applyFill="1" applyBorder="1"/>
    <xf numFmtId="165" fontId="0" fillId="3" borderId="10" xfId="0" applyNumberFormat="1" applyFill="1" applyBorder="1"/>
    <xf numFmtId="0" fontId="5" fillId="0" borderId="0" xfId="0" applyFont="1"/>
    <xf numFmtId="6" fontId="0" fillId="0" borderId="0" xfId="0" applyNumberFormat="1"/>
    <xf numFmtId="0" fontId="5" fillId="0" borderId="0" xfId="0" applyFont="1" applyAlignment="1">
      <alignment horizontal="right"/>
    </xf>
    <xf numFmtId="6" fontId="5" fillId="0" borderId="0" xfId="0" applyNumberFormat="1" applyFont="1"/>
    <xf numFmtId="0" fontId="0" fillId="0" borderId="10" xfId="0" applyBorder="1"/>
    <xf numFmtId="0" fontId="5" fillId="3" borderId="7" xfId="0" applyFont="1" applyFill="1" applyBorder="1" applyAlignment="1">
      <alignment horizontal="right"/>
    </xf>
    <xf numFmtId="165" fontId="5" fillId="3" borderId="8" xfId="0" applyNumberFormat="1" applyFont="1" applyFill="1" applyBorder="1"/>
    <xf numFmtId="0" fontId="6" fillId="3" borderId="9" xfId="0" applyFont="1" applyFill="1" applyBorder="1" applyAlignment="1">
      <alignment horizontal="right"/>
    </xf>
    <xf numFmtId="165" fontId="6" fillId="3" borderId="10" xfId="0" applyNumberFormat="1" applyFont="1" applyFill="1" applyBorder="1"/>
    <xf numFmtId="0" fontId="5" fillId="0" borderId="7" xfId="0" applyFont="1" applyBorder="1" applyAlignment="1">
      <alignment horizontal="right"/>
    </xf>
    <xf numFmtId="6" fontId="5" fillId="0" borderId="8" xfId="0" applyNumberFormat="1" applyFont="1" applyBorder="1"/>
    <xf numFmtId="0" fontId="6" fillId="0" borderId="9" xfId="0" applyFont="1" applyBorder="1" applyAlignment="1">
      <alignment horizontal="right"/>
    </xf>
    <xf numFmtId="6" fontId="6" fillId="0" borderId="10" xfId="0" applyNumberFormat="1" applyFont="1" applyBorder="1"/>
    <xf numFmtId="165" fontId="0" fillId="4" borderId="5" xfId="0" applyNumberFormat="1" applyFill="1" applyBorder="1" applyAlignment="1">
      <alignment horizontal="right"/>
    </xf>
    <xf numFmtId="165" fontId="0" fillId="4" borderId="11" xfId="0" applyNumberFormat="1" applyFill="1" applyBorder="1" applyAlignment="1">
      <alignment horizontal="center"/>
    </xf>
    <xf numFmtId="165" fontId="0" fillId="4" borderId="6" xfId="0" applyNumberFormat="1" applyFill="1" applyBorder="1" applyAlignment="1">
      <alignment horizontal="center"/>
    </xf>
    <xf numFmtId="165" fontId="0" fillId="0" borderId="7" xfId="0" applyNumberFormat="1" applyBorder="1"/>
    <xf numFmtId="165" fontId="0" fillId="4" borderId="8" xfId="0" applyNumberFormat="1" applyFill="1" applyBorder="1" applyAlignment="1">
      <alignment horizontal="center"/>
    </xf>
    <xf numFmtId="165" fontId="0" fillId="0" borderId="9" xfId="0" applyNumberFormat="1" applyBorder="1"/>
    <xf numFmtId="0" fontId="0" fillId="0" borderId="12" xfId="0" applyBorder="1"/>
    <xf numFmtId="165" fontId="5" fillId="4" borderId="10" xfId="0" applyNumberFormat="1" applyFont="1" applyFill="1" applyBorder="1" applyAlignment="1">
      <alignment horizontal="center"/>
    </xf>
    <xf numFmtId="165" fontId="5" fillId="4" borderId="12" xfId="0" applyNumberFormat="1" applyFont="1" applyFill="1" applyBorder="1" applyAlignment="1">
      <alignment horizontal="right"/>
    </xf>
    <xf numFmtId="165" fontId="5" fillId="5" borderId="13" xfId="0" applyNumberFormat="1" applyFont="1" applyFill="1" applyBorder="1" applyAlignment="1">
      <alignment horizontal="center"/>
    </xf>
    <xf numFmtId="0" fontId="5" fillId="5" borderId="14" xfId="0" applyFont="1" applyFill="1" applyBorder="1"/>
    <xf numFmtId="165" fontId="5" fillId="5" borderId="15" xfId="0" applyNumberFormat="1" applyFont="1" applyFill="1" applyBorder="1" applyAlignment="1">
      <alignment horizontal="center"/>
    </xf>
    <xf numFmtId="165" fontId="9" fillId="6" borderId="1" xfId="0" applyNumberFormat="1" applyFont="1" applyFill="1" applyBorder="1" applyAlignment="1">
      <alignment horizontal="center"/>
    </xf>
    <xf numFmtId="165" fontId="0" fillId="7" borderId="3" xfId="0" applyNumberFormat="1" applyFill="1" applyBorder="1" applyAlignment="1">
      <alignment horizontal="center"/>
    </xf>
    <xf numFmtId="165" fontId="0" fillId="7" borderId="3" xfId="1" applyNumberFormat="1" applyFont="1" applyFill="1" applyBorder="1" applyAlignment="1">
      <alignment horizontal="center"/>
    </xf>
    <xf numFmtId="165" fontId="5" fillId="7" borderId="2" xfId="0" applyNumberFormat="1" applyFont="1" applyFill="1" applyBorder="1" applyAlignment="1">
      <alignment horizontal="center"/>
    </xf>
    <xf numFmtId="0" fontId="0" fillId="0" borderId="11" xfId="0" applyBorder="1"/>
    <xf numFmtId="164" fontId="0" fillId="0" borderId="11" xfId="0" applyNumberFormat="1" applyBorder="1" applyAlignment="1">
      <alignment horizontal="center"/>
    </xf>
    <xf numFmtId="0" fontId="8" fillId="6" borderId="0" xfId="0" applyFont="1" applyFill="1" applyAlignment="1">
      <alignment horizontal="right"/>
    </xf>
    <xf numFmtId="10" fontId="3" fillId="0" borderId="0" xfId="2" applyNumberFormat="1" applyFont="1" applyFill="1" applyBorder="1" applyAlignment="1">
      <alignment horizontal="center"/>
    </xf>
    <xf numFmtId="164" fontId="0" fillId="0" borderId="11" xfId="0" applyNumberFormat="1" applyBorder="1"/>
    <xf numFmtId="0" fontId="0" fillId="0" borderId="11" xfId="0" applyBorder="1" applyAlignment="1">
      <alignment horizontal="center"/>
    </xf>
    <xf numFmtId="0" fontId="0" fillId="6" borderId="0" xfId="0" applyFill="1"/>
    <xf numFmtId="0" fontId="0" fillId="0" borderId="7" xfId="0" applyBorder="1" applyAlignment="1">
      <alignment horizontal="center"/>
    </xf>
    <xf numFmtId="10" fontId="0" fillId="0" borderId="7" xfId="2" applyNumberFormat="1" applyFont="1" applyBorder="1" applyAlignment="1">
      <alignment horizontal="center"/>
    </xf>
    <xf numFmtId="0" fontId="7" fillId="6" borderId="0" xfId="0" applyFont="1" applyFill="1" applyAlignment="1">
      <alignment horizontal="right"/>
    </xf>
    <xf numFmtId="165" fontId="7" fillId="6" borderId="0" xfId="1" applyNumberFormat="1" applyFont="1" applyFill="1" applyBorder="1" applyAlignment="1">
      <alignment horizontal="center"/>
    </xf>
    <xf numFmtId="9" fontId="0" fillId="0" borderId="9" xfId="2" applyFont="1" applyBorder="1" applyAlignment="1">
      <alignment horizontal="center"/>
    </xf>
    <xf numFmtId="164" fontId="0" fillId="0" borderId="12" xfId="0" applyNumberFormat="1" applyBorder="1"/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top" wrapText="1"/>
    </xf>
    <xf numFmtId="6" fontId="11" fillId="0" borderId="0" xfId="0" applyNumberFormat="1" applyFont="1" applyAlignment="1">
      <alignment horizontal="center" vertical="center" wrapText="1"/>
    </xf>
    <xf numFmtId="6" fontId="0" fillId="0" borderId="0" xfId="0" applyNumberFormat="1" applyAlignment="1">
      <alignment horizontal="center"/>
    </xf>
    <xf numFmtId="6" fontId="12" fillId="0" borderId="0" xfId="0" applyNumberFormat="1" applyFont="1" applyAlignment="1">
      <alignment horizontal="center" vertical="center" wrapText="1"/>
    </xf>
    <xf numFmtId="6" fontId="5" fillId="0" borderId="0" xfId="0" applyNumberFormat="1" applyFont="1" applyAlignment="1">
      <alignment horizontal="center"/>
    </xf>
    <xf numFmtId="165" fontId="11" fillId="0" borderId="0" xfId="1" applyNumberFormat="1" applyFont="1" applyBorder="1" applyAlignment="1">
      <alignment horizontal="center" vertical="center" wrapText="1"/>
    </xf>
    <xf numFmtId="9" fontId="13" fillId="0" borderId="0" xfId="2" applyFont="1" applyBorder="1" applyAlignment="1">
      <alignment horizontal="center" vertical="top" wrapText="1"/>
    </xf>
    <xf numFmtId="9" fontId="13" fillId="0" borderId="0" xfId="2" applyFont="1" applyBorder="1" applyAlignment="1">
      <alignment horizontal="center" vertical="center" wrapText="1"/>
    </xf>
    <xf numFmtId="9" fontId="14" fillId="0" borderId="0" xfId="2" applyFont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8" fontId="0" fillId="0" borderId="0" xfId="0" applyNumberFormat="1" applyAlignment="1">
      <alignment horizontal="center"/>
    </xf>
    <xf numFmtId="0" fontId="0" fillId="8" borderId="0" xfId="0" applyFill="1" applyAlignment="1">
      <alignment horizontal="right"/>
    </xf>
    <xf numFmtId="165" fontId="0" fillId="8" borderId="0" xfId="0" applyNumberFormat="1" applyFill="1" applyAlignment="1">
      <alignment horizontal="center"/>
    </xf>
    <xf numFmtId="0" fontId="3" fillId="8" borderId="0" xfId="0" applyFont="1" applyFill="1" applyAlignment="1">
      <alignment horizontal="right"/>
    </xf>
    <xf numFmtId="10" fontId="3" fillId="8" borderId="0" xfId="2" applyNumberFormat="1" applyFont="1" applyFill="1" applyBorder="1" applyAlignment="1">
      <alignment horizontal="center"/>
    </xf>
    <xf numFmtId="8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15" fillId="0" borderId="16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left"/>
    </xf>
    <xf numFmtId="9" fontId="5" fillId="0" borderId="0" xfId="2" applyFont="1" applyAlignment="1">
      <alignment horizontal="left"/>
    </xf>
    <xf numFmtId="9" fontId="5" fillId="0" borderId="0" xfId="2" applyFon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2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BEF0-B61E-45F2-9C75-51066FD8E733}">
  <dimension ref="B1:O34"/>
  <sheetViews>
    <sheetView showGridLines="0" tabSelected="1" topLeftCell="B1" zoomScale="80" zoomScaleNormal="80" workbookViewId="0">
      <selection activeCell="E11" sqref="E11"/>
    </sheetView>
  </sheetViews>
  <sheetFormatPr defaultRowHeight="14.5" x14ac:dyDescent="0.35"/>
  <cols>
    <col min="1" max="1" width="2.1796875" customWidth="1"/>
    <col min="2" max="2" width="9.54296875" customWidth="1"/>
    <col min="3" max="3" width="8.08984375" customWidth="1"/>
    <col min="4" max="4" width="19.81640625" customWidth="1"/>
    <col min="5" max="5" width="18.36328125" customWidth="1"/>
    <col min="6" max="6" width="25.08984375" customWidth="1"/>
    <col min="7" max="7" width="11.1796875" customWidth="1"/>
    <col min="8" max="8" width="20" customWidth="1"/>
    <col min="9" max="9" width="50.54296875" customWidth="1"/>
    <col min="10" max="10" width="20.7265625" customWidth="1"/>
    <col min="11" max="14" width="13.1796875" customWidth="1"/>
  </cols>
  <sheetData>
    <row r="1" spans="2:15" ht="15" thickBot="1" x14ac:dyDescent="0.4">
      <c r="D1" s="1"/>
      <c r="E1" s="4"/>
      <c r="F1" s="4"/>
      <c r="G1" s="4"/>
      <c r="J1" s="5"/>
      <c r="K1" s="4"/>
      <c r="L1" s="4"/>
      <c r="M1" s="4"/>
      <c r="N1" s="4"/>
    </row>
    <row r="2" spans="2:15" x14ac:dyDescent="0.35">
      <c r="B2" s="36"/>
      <c r="C2" s="78"/>
      <c r="D2" s="82"/>
      <c r="E2" s="83"/>
      <c r="F2" s="83"/>
      <c r="G2" s="83"/>
      <c r="H2" s="78"/>
      <c r="I2" s="78"/>
      <c r="J2" s="79"/>
      <c r="K2" s="83"/>
      <c r="L2" s="83"/>
      <c r="M2" s="83"/>
      <c r="N2" s="83"/>
      <c r="O2" s="37"/>
    </row>
    <row r="3" spans="2:15" x14ac:dyDescent="0.35">
      <c r="B3" s="27"/>
      <c r="E3" s="4" t="s">
        <v>0</v>
      </c>
      <c r="F3" s="5" t="s">
        <v>34</v>
      </c>
      <c r="G3" s="5"/>
      <c r="J3" s="5" t="s">
        <v>9</v>
      </c>
      <c r="K3" s="5" t="s">
        <v>10</v>
      </c>
      <c r="L3" s="5" t="s">
        <v>13</v>
      </c>
      <c r="M3" s="5" t="s">
        <v>14</v>
      </c>
      <c r="N3" s="5" t="s">
        <v>15</v>
      </c>
      <c r="O3" s="28"/>
    </row>
    <row r="4" spans="2:15" x14ac:dyDescent="0.35">
      <c r="B4" s="27"/>
      <c r="D4" s="7" t="str">
        <f>Inputs!B5</f>
        <v>OG 5th 3rd LOC I/O for 12 Months</v>
      </c>
      <c r="E4" s="25">
        <f>Inputs!C5</f>
        <v>7.4999999999999997E-2</v>
      </c>
      <c r="F4" s="8">
        <f>Inputs!F13</f>
        <v>2000000</v>
      </c>
      <c r="G4" s="8"/>
      <c r="I4" s="7" t="str">
        <f>D4</f>
        <v>OG 5th 3rd LOC I/O for 12 Months</v>
      </c>
      <c r="J4" s="8">
        <f>'Per Loan'!C20</f>
        <v>150000</v>
      </c>
      <c r="K4" s="8">
        <f>'Per Loan'!F20</f>
        <v>368118.62047500117</v>
      </c>
      <c r="L4" s="8">
        <f>K4</f>
        <v>368118.62047500117</v>
      </c>
      <c r="M4" s="8">
        <f>L4</f>
        <v>368118.62047500117</v>
      </c>
      <c r="N4" s="8">
        <f>M4</f>
        <v>368118.62047500117</v>
      </c>
      <c r="O4" s="28"/>
    </row>
    <row r="5" spans="2:15" x14ac:dyDescent="0.35">
      <c r="B5" s="27"/>
      <c r="D5" s="7" t="str">
        <f>Inputs!B6</f>
        <v>RE</v>
      </c>
      <c r="E5" s="25">
        <f>Inputs!C6</f>
        <v>6.8000000000000005E-2</v>
      </c>
      <c r="F5" s="8">
        <f>Inputs!E14</f>
        <v>790500</v>
      </c>
      <c r="G5" s="8"/>
      <c r="I5" s="7" t="str">
        <f t="shared" ref="I5:I7" si="0">D5</f>
        <v>RE</v>
      </c>
      <c r="J5" s="8">
        <f>'Per Loan'!C21</f>
        <v>72410.388002422711</v>
      </c>
      <c r="K5" s="8">
        <f>'Per Loan'!F21</f>
        <v>72410.388002422711</v>
      </c>
      <c r="L5" s="8">
        <f t="shared" ref="L5:N7" si="1">K5</f>
        <v>72410.388002422711</v>
      </c>
      <c r="M5" s="8">
        <f t="shared" si="1"/>
        <v>72410.388002422711</v>
      </c>
      <c r="N5" s="8">
        <f t="shared" si="1"/>
        <v>72410.388002422711</v>
      </c>
      <c r="O5" s="28"/>
    </row>
    <row r="6" spans="2:15" x14ac:dyDescent="0.35">
      <c r="B6" s="27"/>
      <c r="D6" s="7" t="str">
        <f>Inputs!B7</f>
        <v>Seller Fin</v>
      </c>
      <c r="E6" s="25">
        <f>Inputs!C7</f>
        <v>0.05</v>
      </c>
      <c r="F6" s="8">
        <f>Inputs!D7</f>
        <v>1000000</v>
      </c>
      <c r="G6" s="8"/>
      <c r="I6" s="7" t="str">
        <f t="shared" si="0"/>
        <v>Seller Fin</v>
      </c>
      <c r="J6" s="8">
        <f>'Per Loan'!C22</f>
        <v>226454.80372813117</v>
      </c>
      <c r="K6" s="8">
        <f>'Per Loan'!F22</f>
        <v>226454.80372813117</v>
      </c>
      <c r="L6" s="8">
        <f t="shared" si="1"/>
        <v>226454.80372813117</v>
      </c>
      <c r="M6" s="8">
        <f t="shared" si="1"/>
        <v>226454.80372813117</v>
      </c>
      <c r="N6" s="8">
        <f t="shared" si="1"/>
        <v>226454.80372813117</v>
      </c>
      <c r="O6" s="28"/>
    </row>
    <row r="7" spans="2:15" x14ac:dyDescent="0.35">
      <c r="B7" s="27"/>
      <c r="D7" s="7" t="str">
        <f>Inputs!B8</f>
        <v>5th 3rd LOC/Loan</v>
      </c>
      <c r="E7" s="25">
        <f>Inputs!C8</f>
        <v>7.4999999999999997E-2</v>
      </c>
      <c r="F7" s="8">
        <f>Inputs!D8</f>
        <v>750000</v>
      </c>
      <c r="G7" s="8"/>
      <c r="I7" s="7" t="str">
        <f t="shared" si="0"/>
        <v>5th 3rd LOC/Loan</v>
      </c>
      <c r="J7" s="8">
        <f>'Per Loan'!C23</f>
        <v>180341.53736061387</v>
      </c>
      <c r="K7" s="8">
        <f>'Per Loan'!F23</f>
        <v>180341.53736061387</v>
      </c>
      <c r="L7" s="8">
        <f t="shared" si="1"/>
        <v>180341.53736061387</v>
      </c>
      <c r="M7" s="8">
        <f t="shared" si="1"/>
        <v>180341.53736061387</v>
      </c>
      <c r="N7" s="8">
        <f t="shared" si="1"/>
        <v>180341.53736061387</v>
      </c>
      <c r="O7" s="28"/>
    </row>
    <row r="8" spans="2:15" ht="16" x14ac:dyDescent="0.4">
      <c r="B8" s="27"/>
      <c r="D8" s="10"/>
      <c r="E8" s="8"/>
      <c r="F8" s="8"/>
      <c r="G8" s="8"/>
      <c r="H8" s="84"/>
      <c r="I8" s="80" t="s">
        <v>43</v>
      </c>
      <c r="J8" s="74">
        <f>SUM(J4:J7)</f>
        <v>629206.72909116768</v>
      </c>
      <c r="K8" s="74">
        <f t="shared" ref="K8:N8" si="2">SUM(K4:K7)</f>
        <v>847325.34956616885</v>
      </c>
      <c r="L8" s="74">
        <f t="shared" si="2"/>
        <v>847325.34956616885</v>
      </c>
      <c r="M8" s="74">
        <f t="shared" si="2"/>
        <v>847325.34956616885</v>
      </c>
      <c r="N8" s="74">
        <f t="shared" si="2"/>
        <v>847325.34956616885</v>
      </c>
      <c r="O8" s="28"/>
    </row>
    <row r="9" spans="2:15" x14ac:dyDescent="0.35">
      <c r="B9" s="27"/>
      <c r="D9" s="10"/>
      <c r="E9" s="8"/>
      <c r="F9" s="8"/>
      <c r="G9" s="8"/>
      <c r="I9" s="7" t="s">
        <v>16</v>
      </c>
      <c r="J9" s="8">
        <f>'Buckeye P&amp;L'!M11*1.03</f>
        <v>1374681.26</v>
      </c>
      <c r="K9" s="8">
        <f>J9*1.03</f>
        <v>1415921.6978</v>
      </c>
      <c r="L9" s="8">
        <f>K9*1.03</f>
        <v>1458399.348734</v>
      </c>
      <c r="M9" s="8">
        <f>L9*1.03</f>
        <v>1502151.32919602</v>
      </c>
      <c r="N9" s="8">
        <f>M9*1.03</f>
        <v>1547215.8690719006</v>
      </c>
      <c r="O9" s="28"/>
    </row>
    <row r="10" spans="2:15" x14ac:dyDescent="0.35">
      <c r="B10" s="27"/>
      <c r="D10" s="77" t="s">
        <v>5</v>
      </c>
      <c r="E10" s="77" t="s">
        <v>6</v>
      </c>
      <c r="F10" s="77" t="s">
        <v>7</v>
      </c>
      <c r="G10" s="8"/>
      <c r="I10" s="108" t="s">
        <v>12</v>
      </c>
      <c r="J10" s="109">
        <f>J9-J8</f>
        <v>745474.53090883233</v>
      </c>
      <c r="K10" s="109">
        <f>K9-K8</f>
        <v>568596.34823383112</v>
      </c>
      <c r="L10" s="109">
        <f>L9-L8</f>
        <v>611073.99916783115</v>
      </c>
      <c r="M10" s="109">
        <f>M9-M8</f>
        <v>654825.97962985118</v>
      </c>
      <c r="N10" s="109">
        <f>N9-N8</f>
        <v>699890.51950573176</v>
      </c>
      <c r="O10" s="28"/>
    </row>
    <row r="11" spans="2:15" x14ac:dyDescent="0.35">
      <c r="B11" s="27"/>
      <c r="D11" s="75">
        <f>Inputs!D11</f>
        <v>5000000</v>
      </c>
      <c r="E11" s="76">
        <v>900000</v>
      </c>
      <c r="F11" s="75">
        <f>D11-E11</f>
        <v>4100000</v>
      </c>
      <c r="G11" s="8"/>
      <c r="I11" s="110" t="s">
        <v>17</v>
      </c>
      <c r="J11" s="111">
        <f>J10/$F$19</f>
        <v>1.6223602413685143</v>
      </c>
      <c r="K11" s="111">
        <f>(K10+J10)/$F$19</f>
        <v>2.8597842854029674</v>
      </c>
      <c r="L11" s="111">
        <f>(J10+L10+K10)/$F$19</f>
        <v>4.1896515305995532</v>
      </c>
      <c r="M11" s="111">
        <f>(J10+K10+M10+L10)/$F$19</f>
        <v>5.6147352729931361</v>
      </c>
      <c r="N11" s="111">
        <f>(J10+K10+L10+N10+M10)/$F$19</f>
        <v>7.1378920074996248</v>
      </c>
      <c r="O11" s="28"/>
    </row>
    <row r="12" spans="2:15" x14ac:dyDescent="0.35">
      <c r="B12" s="85"/>
      <c r="D12" s="8"/>
      <c r="E12" s="14"/>
      <c r="F12" s="8"/>
      <c r="G12" s="8"/>
      <c r="I12" s="17"/>
      <c r="J12" s="81"/>
      <c r="K12" s="81"/>
      <c r="L12" s="81"/>
      <c r="M12" s="81"/>
      <c r="N12" s="81"/>
      <c r="O12" s="28"/>
    </row>
    <row r="13" spans="2:15" ht="16" x14ac:dyDescent="0.4">
      <c r="B13" s="86"/>
      <c r="C13" t="str">
        <f>Inputs!C13</f>
        <v>OG 5th 3rd LOC</v>
      </c>
      <c r="D13" s="10"/>
      <c r="E13" s="8"/>
      <c r="F13" s="8">
        <f>F4</f>
        <v>2000000</v>
      </c>
      <c r="G13" s="8"/>
      <c r="H13" s="84"/>
      <c r="I13" s="87" t="s">
        <v>42</v>
      </c>
      <c r="J13" s="88">
        <f>J8/12</f>
        <v>52433.89409093064</v>
      </c>
      <c r="K13" s="88">
        <f>K8/12</f>
        <v>70610.445797180742</v>
      </c>
      <c r="L13" s="88">
        <f>L8/12</f>
        <v>70610.445797180742</v>
      </c>
      <c r="M13" s="88">
        <f>M8/12</f>
        <v>70610.445797180742</v>
      </c>
      <c r="N13" s="88">
        <f>N8/12</f>
        <v>70610.445797180742</v>
      </c>
      <c r="O13" s="28"/>
    </row>
    <row r="14" spans="2:15" x14ac:dyDescent="0.35">
      <c r="B14" s="86"/>
      <c r="C14" t="str">
        <f>Inputs!C14</f>
        <v>RE Loan</v>
      </c>
      <c r="D14" s="10"/>
      <c r="E14" s="8">
        <f>F5</f>
        <v>790500</v>
      </c>
      <c r="F14" s="8"/>
      <c r="G14" s="8"/>
      <c r="J14" s="5"/>
      <c r="K14" s="4"/>
      <c r="L14" s="4"/>
      <c r="M14" s="4"/>
      <c r="N14" s="4"/>
      <c r="O14" s="28"/>
    </row>
    <row r="15" spans="2:15" x14ac:dyDescent="0.35">
      <c r="B15" s="86"/>
      <c r="C15" t="str">
        <f>Inputs!C15</f>
        <v>Seller Fin</v>
      </c>
      <c r="D15" s="10"/>
      <c r="E15" s="8"/>
      <c r="F15" s="14">
        <f>F6</f>
        <v>1000000</v>
      </c>
      <c r="G15" s="14"/>
      <c r="J15" s="5"/>
      <c r="K15" s="4"/>
      <c r="L15" s="4"/>
      <c r="M15" s="4"/>
      <c r="N15" s="4"/>
      <c r="O15" s="28"/>
    </row>
    <row r="16" spans="2:15" ht="15" thickBot="1" x14ac:dyDescent="0.4">
      <c r="B16" s="86"/>
      <c r="C16" t="str">
        <f>Inputs!C16</f>
        <v>5th 3rd LOC/Loan</v>
      </c>
      <c r="D16" s="10"/>
      <c r="E16" s="8"/>
      <c r="F16" s="14">
        <f>F7</f>
        <v>750000</v>
      </c>
      <c r="G16" s="14"/>
      <c r="J16" s="5"/>
      <c r="K16" s="4"/>
      <c r="L16" s="4"/>
      <c r="M16" s="4"/>
      <c r="N16" s="4"/>
      <c r="O16" s="28"/>
    </row>
    <row r="17" spans="2:15" x14ac:dyDescent="0.35">
      <c r="B17" s="85"/>
      <c r="D17" s="62" t="s">
        <v>3</v>
      </c>
      <c r="E17" s="63">
        <f>E11-E14</f>
        <v>109500</v>
      </c>
      <c r="F17" s="64">
        <f>F11-F13-F15-F16</f>
        <v>350000</v>
      </c>
      <c r="G17" s="8"/>
      <c r="J17" s="5"/>
      <c r="K17" s="4"/>
      <c r="L17" s="4"/>
      <c r="M17" s="4"/>
      <c r="N17" s="4"/>
      <c r="O17" s="28"/>
    </row>
    <row r="18" spans="2:15" ht="6.5" customHeight="1" x14ac:dyDescent="0.35">
      <c r="B18" s="85"/>
      <c r="D18" s="65"/>
      <c r="E18" s="8"/>
      <c r="F18" s="66"/>
      <c r="G18" s="8"/>
      <c r="J18" s="5"/>
      <c r="K18" s="4"/>
      <c r="L18" s="4"/>
      <c r="M18" s="4"/>
      <c r="N18" s="4"/>
      <c r="O18" s="28"/>
    </row>
    <row r="19" spans="2:15" ht="15" thickBot="1" x14ac:dyDescent="0.4">
      <c r="B19" s="85"/>
      <c r="D19" s="67"/>
      <c r="E19" s="70" t="s">
        <v>3</v>
      </c>
      <c r="F19" s="69">
        <f>F17+E17</f>
        <v>459500</v>
      </c>
      <c r="G19" s="8"/>
      <c r="O19" s="28"/>
    </row>
    <row r="20" spans="2:15" ht="6.5" customHeight="1" thickBot="1" x14ac:dyDescent="0.4">
      <c r="B20" s="85"/>
      <c r="D20" s="10"/>
      <c r="E20" s="8"/>
      <c r="F20" s="8"/>
      <c r="G20" s="8"/>
      <c r="J20" s="25"/>
      <c r="K20" s="4"/>
      <c r="L20" s="4"/>
      <c r="M20" s="4"/>
      <c r="N20" s="4"/>
      <c r="O20" s="28"/>
    </row>
    <row r="21" spans="2:15" ht="15" thickBot="1" x14ac:dyDescent="0.4">
      <c r="B21" s="86"/>
      <c r="D21" s="71" t="s">
        <v>8</v>
      </c>
      <c r="E21" s="72"/>
      <c r="F21" s="73">
        <f>F13+E14+F15</f>
        <v>3790500</v>
      </c>
      <c r="G21" s="8"/>
      <c r="J21" s="25"/>
      <c r="K21" s="4"/>
      <c r="L21" s="4"/>
      <c r="M21" s="4"/>
      <c r="N21" s="4"/>
      <c r="O21" s="28"/>
    </row>
    <row r="22" spans="2:15" ht="15" thickBot="1" x14ac:dyDescent="0.4">
      <c r="B22" s="89"/>
      <c r="C22" s="68"/>
      <c r="D22" s="90"/>
      <c r="E22" s="91"/>
      <c r="F22" s="91"/>
      <c r="G22" s="91"/>
      <c r="H22" s="68"/>
      <c r="I22" s="68"/>
      <c r="J22" s="92"/>
      <c r="K22" s="91"/>
      <c r="L22" s="91"/>
      <c r="M22" s="91"/>
      <c r="N22" s="91"/>
      <c r="O22" s="53"/>
    </row>
    <row r="23" spans="2:15" x14ac:dyDescent="0.35">
      <c r="B23" s="24"/>
      <c r="D23" s="1"/>
      <c r="E23" s="4"/>
      <c r="F23" s="4"/>
      <c r="G23" s="4"/>
      <c r="J23" s="5"/>
      <c r="K23" s="4"/>
      <c r="L23" s="4"/>
      <c r="M23" s="4"/>
      <c r="N23" s="4"/>
    </row>
    <row r="24" spans="2:15" x14ac:dyDescent="0.35">
      <c r="D24" s="1"/>
      <c r="E24" s="4"/>
      <c r="F24" s="4"/>
      <c r="G24" s="4"/>
      <c r="J24" s="5"/>
      <c r="K24" s="4"/>
      <c r="L24" s="4"/>
      <c r="M24" s="4"/>
      <c r="N24" s="4"/>
    </row>
    <row r="25" spans="2:15" x14ac:dyDescent="0.35">
      <c r="D25" s="1"/>
      <c r="E25" s="4"/>
      <c r="F25" s="4"/>
      <c r="G25" s="4"/>
      <c r="J25" s="5" t="str">
        <f>J3</f>
        <v>Year 1</v>
      </c>
      <c r="K25" s="5" t="str">
        <f t="shared" ref="K25:N25" si="3">K3</f>
        <v>Year 2</v>
      </c>
      <c r="L25" s="5" t="str">
        <f t="shared" si="3"/>
        <v>Year 3</v>
      </c>
      <c r="M25" s="5" t="str">
        <f t="shared" si="3"/>
        <v>Year 4</v>
      </c>
      <c r="N25" s="5" t="str">
        <f t="shared" si="3"/>
        <v>Year 5</v>
      </c>
    </row>
    <row r="26" spans="2:15" x14ac:dyDescent="0.35">
      <c r="D26" s="1"/>
      <c r="E26" s="4"/>
      <c r="F26" s="20"/>
      <c r="G26" s="20"/>
      <c r="I26" s="112" t="str">
        <f>I9</f>
        <v>EBITDA @ 3% Growth</v>
      </c>
      <c r="J26" s="8">
        <f>J9</f>
        <v>1374681.26</v>
      </c>
      <c r="K26" s="8">
        <f>K9</f>
        <v>1415921.6978</v>
      </c>
      <c r="L26" s="8">
        <f>L9</f>
        <v>1458399.348734</v>
      </c>
      <c r="M26" s="8">
        <f>M9</f>
        <v>1502151.32919602</v>
      </c>
      <c r="N26" s="8">
        <f>N9</f>
        <v>1547215.8690719006</v>
      </c>
    </row>
    <row r="27" spans="2:15" x14ac:dyDescent="0.35">
      <c r="D27" s="1"/>
      <c r="E27" s="4"/>
      <c r="F27" s="4"/>
      <c r="G27" s="4"/>
      <c r="I27" s="113" t="str">
        <f>I4</f>
        <v>OG 5th 3rd LOC I/O for 12 Months</v>
      </c>
      <c r="J27" s="8">
        <f>J4</f>
        <v>150000</v>
      </c>
      <c r="K27" s="8">
        <f>K4</f>
        <v>368118.62047500117</v>
      </c>
      <c r="L27" s="8">
        <f>L4</f>
        <v>368118.62047500117</v>
      </c>
      <c r="M27" s="8">
        <f>M4</f>
        <v>368118.62047500117</v>
      </c>
      <c r="N27" s="8">
        <f>N4</f>
        <v>368118.62047500117</v>
      </c>
    </row>
    <row r="28" spans="2:15" x14ac:dyDescent="0.35">
      <c r="I28" s="113" t="str">
        <f>I5</f>
        <v>RE</v>
      </c>
      <c r="J28" s="8">
        <f>J5</f>
        <v>72410.388002422711</v>
      </c>
      <c r="K28" s="8">
        <f>K5</f>
        <v>72410.388002422711</v>
      </c>
      <c r="L28" s="8">
        <f>L5</f>
        <v>72410.388002422711</v>
      </c>
      <c r="M28" s="8">
        <f>M5</f>
        <v>72410.388002422711</v>
      </c>
      <c r="N28" s="8">
        <f>N5</f>
        <v>72410.388002422711</v>
      </c>
    </row>
    <row r="29" spans="2:15" x14ac:dyDescent="0.35">
      <c r="I29" s="113" t="str">
        <f>I6</f>
        <v>Seller Fin</v>
      </c>
      <c r="J29" s="8">
        <f>J6</f>
        <v>226454.80372813117</v>
      </c>
      <c r="K29" s="8">
        <f>K6</f>
        <v>226454.80372813117</v>
      </c>
      <c r="L29" s="8">
        <f>L6</f>
        <v>226454.80372813117</v>
      </c>
      <c r="M29" s="8">
        <f>M6</f>
        <v>226454.80372813117</v>
      </c>
      <c r="N29" s="8">
        <f>N6</f>
        <v>226454.80372813117</v>
      </c>
    </row>
    <row r="30" spans="2:15" x14ac:dyDescent="0.35">
      <c r="I30" s="113" t="str">
        <f>I7</f>
        <v>5th 3rd LOC/Loan</v>
      </c>
      <c r="J30" s="8">
        <f>J7</f>
        <v>180341.53736061387</v>
      </c>
      <c r="K30" s="8">
        <f>K7</f>
        <v>180341.53736061387</v>
      </c>
      <c r="L30" s="8">
        <f>L7</f>
        <v>180341.53736061387</v>
      </c>
      <c r="M30" s="8">
        <f>M7</f>
        <v>180341.53736061387</v>
      </c>
      <c r="N30" s="8">
        <f>N7</f>
        <v>180341.53736061387</v>
      </c>
    </row>
    <row r="31" spans="2:15" x14ac:dyDescent="0.35">
      <c r="I31" s="115" t="str">
        <f>I8</f>
        <v xml:space="preserve">Annual Debt Service </v>
      </c>
      <c r="J31" s="114">
        <f>SUM(J27:J30)</f>
        <v>629206.72909116768</v>
      </c>
      <c r="K31" s="114">
        <f t="shared" ref="K31:N31" si="4">SUM(K27:K30)</f>
        <v>847325.34956616885</v>
      </c>
      <c r="L31" s="114">
        <f t="shared" si="4"/>
        <v>847325.34956616885</v>
      </c>
      <c r="M31" s="114">
        <f t="shared" si="4"/>
        <v>847325.34956616885</v>
      </c>
      <c r="N31" s="114">
        <f t="shared" si="4"/>
        <v>847325.34956616885</v>
      </c>
    </row>
    <row r="32" spans="2:15" x14ac:dyDescent="0.35">
      <c r="I32" s="113" t="str">
        <f>I10</f>
        <v>Net Cash Flow</v>
      </c>
      <c r="J32" s="8">
        <f>J10</f>
        <v>745474.53090883233</v>
      </c>
      <c r="K32" s="8">
        <f>K10</f>
        <v>568596.34823383112</v>
      </c>
      <c r="L32" s="8">
        <f>L10</f>
        <v>611073.99916783115</v>
      </c>
      <c r="M32" s="8">
        <f>M10</f>
        <v>654825.97962985118</v>
      </c>
      <c r="N32" s="8">
        <f>N10</f>
        <v>699890.51950573176</v>
      </c>
    </row>
    <row r="33" spans="9:14" x14ac:dyDescent="0.35">
      <c r="I33" s="116" t="s">
        <v>57</v>
      </c>
      <c r="J33" s="117">
        <f>J11</f>
        <v>1.6223602413685143</v>
      </c>
      <c r="K33" s="117">
        <f>K11</f>
        <v>2.8597842854029674</v>
      </c>
      <c r="L33" s="117">
        <f>L11</f>
        <v>4.1896515305995532</v>
      </c>
      <c r="M33" s="117">
        <f>M11</f>
        <v>5.6147352729931361</v>
      </c>
      <c r="N33" s="117">
        <f>N11</f>
        <v>7.1378920074996248</v>
      </c>
    </row>
    <row r="34" spans="9:14" x14ac:dyDescent="0.35">
      <c r="J34" s="4"/>
      <c r="K34" s="4"/>
      <c r="L34" s="4"/>
      <c r="M34" s="4"/>
      <c r="N34" s="4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3107-FA63-425E-831D-99FDEA93F402}">
  <dimension ref="B1:L25"/>
  <sheetViews>
    <sheetView showGridLines="0" workbookViewId="0">
      <selection activeCell="F3" sqref="F3"/>
    </sheetView>
  </sheetViews>
  <sheetFormatPr defaultRowHeight="14.5" x14ac:dyDescent="0.35"/>
  <cols>
    <col min="1" max="1" width="7.6328125" customWidth="1"/>
    <col min="2" max="2" width="35.36328125" customWidth="1"/>
    <col min="3" max="3" width="20.36328125" customWidth="1"/>
    <col min="4" max="4" width="4.453125" customWidth="1"/>
    <col min="5" max="5" width="34.26953125" customWidth="1"/>
    <col min="6" max="6" width="12.453125" bestFit="1" customWidth="1"/>
    <col min="7" max="7" width="3.1796875" customWidth="1"/>
    <col min="8" max="8" width="16.08984375" customWidth="1"/>
    <col min="9" max="9" width="10.90625" bestFit="1" customWidth="1"/>
    <col min="10" max="10" width="2.81640625" customWidth="1"/>
    <col min="11" max="11" width="17.6328125" customWidth="1"/>
    <col min="12" max="12" width="18.7265625" customWidth="1"/>
  </cols>
  <sheetData>
    <row r="1" spans="2:12" ht="15" thickBot="1" x14ac:dyDescent="0.4"/>
    <row r="2" spans="2:12" x14ac:dyDescent="0.35">
      <c r="B2" s="38" t="str">
        <f>Inputs!B5</f>
        <v>OG 5th 3rd LOC I/O for 12 Months</v>
      </c>
      <c r="C2" s="37"/>
      <c r="E2" s="105" t="str">
        <f>Inputs!B7</f>
        <v>Seller Fin</v>
      </c>
      <c r="F2" s="106"/>
      <c r="H2" s="105" t="str">
        <f>Inputs!B6</f>
        <v>RE</v>
      </c>
      <c r="I2" s="106"/>
      <c r="K2" s="105" t="str">
        <f>Inputs!B8</f>
        <v>5th 3rd LOC/Loan</v>
      </c>
      <c r="L2" s="106"/>
    </row>
    <row r="3" spans="2:12" x14ac:dyDescent="0.35">
      <c r="B3" s="27" t="str">
        <f>E3</f>
        <v>Original Principal</v>
      </c>
      <c r="C3" s="42">
        <f>Inputs!D5</f>
        <v>2000000</v>
      </c>
      <c r="E3" s="27" t="str">
        <f>H3</f>
        <v>Original Principal</v>
      </c>
      <c r="F3" s="43">
        <f>Inputs!D7</f>
        <v>1000000</v>
      </c>
      <c r="H3" s="27" t="str">
        <f>K3</f>
        <v>Original Principal</v>
      </c>
      <c r="I3" s="32">
        <f>Inputs!E14</f>
        <v>790500</v>
      </c>
      <c r="K3" s="27" t="s">
        <v>28</v>
      </c>
      <c r="L3" s="32">
        <f>Inputs!D8</f>
        <v>750000</v>
      </c>
    </row>
    <row r="4" spans="2:12" x14ac:dyDescent="0.35">
      <c r="B4" s="27" t="str">
        <f t="shared" ref="B4:B8" si="0">E4</f>
        <v>Term (Years)</v>
      </c>
      <c r="C4" s="28">
        <f>7</f>
        <v>7</v>
      </c>
      <c r="E4" s="27" t="str">
        <f t="shared" ref="E4:E8" si="1">H4</f>
        <v>Term (Years)</v>
      </c>
      <c r="F4" s="28">
        <f>5</f>
        <v>5</v>
      </c>
      <c r="H4" s="27" t="str">
        <f t="shared" ref="H4:H8" si="2">K4</f>
        <v>Term (Years)</v>
      </c>
      <c r="I4" s="28">
        <v>20</v>
      </c>
      <c r="K4" s="27" t="s">
        <v>29</v>
      </c>
      <c r="L4" s="28">
        <f>5</f>
        <v>5</v>
      </c>
    </row>
    <row r="5" spans="2:12" x14ac:dyDescent="0.35">
      <c r="B5" s="27" t="str">
        <f t="shared" si="0"/>
        <v>Rate</v>
      </c>
      <c r="C5" s="29">
        <f>Inputs!C5</f>
        <v>7.4999999999999997E-2</v>
      </c>
      <c r="E5" s="27" t="str">
        <f t="shared" si="1"/>
        <v>Rate</v>
      </c>
      <c r="F5" s="29">
        <f>Inputs!C7</f>
        <v>0.05</v>
      </c>
      <c r="H5" s="27" t="str">
        <f t="shared" si="2"/>
        <v>Rate</v>
      </c>
      <c r="I5" s="29">
        <f>Inputs!C6</f>
        <v>6.8000000000000005E-2</v>
      </c>
      <c r="K5" s="27" t="s">
        <v>0</v>
      </c>
      <c r="L5" s="29">
        <f>Inputs!C8</f>
        <v>7.4999999999999997E-2</v>
      </c>
    </row>
    <row r="6" spans="2:12" x14ac:dyDescent="0.35">
      <c r="B6" s="27" t="str">
        <f t="shared" si="0"/>
        <v>Payments per Year</v>
      </c>
      <c r="C6" s="28">
        <f>F6</f>
        <v>12</v>
      </c>
      <c r="E6" s="27" t="str">
        <f t="shared" si="1"/>
        <v>Payments per Year</v>
      </c>
      <c r="F6" s="28">
        <f>I6</f>
        <v>12</v>
      </c>
      <c r="H6" s="27" t="str">
        <f t="shared" si="2"/>
        <v>Payments per Year</v>
      </c>
      <c r="I6" s="28">
        <v>12</v>
      </c>
      <c r="K6" s="27" t="s">
        <v>30</v>
      </c>
      <c r="L6" s="28">
        <f>12</f>
        <v>12</v>
      </c>
    </row>
    <row r="7" spans="2:12" x14ac:dyDescent="0.35">
      <c r="B7" s="27" t="str">
        <f t="shared" si="0"/>
        <v>Monthly Payment</v>
      </c>
      <c r="C7" s="32">
        <f>PMT(C$5/C$6, C$4*C$6, -C$3)</f>
        <v>30676.551706250095</v>
      </c>
      <c r="E7" s="27" t="str">
        <f t="shared" si="1"/>
        <v>Monthly Payment</v>
      </c>
      <c r="F7" s="32">
        <f>PMT(F$5/F$6, F$4*F$6, -F$3)</f>
        <v>18871.233644010932</v>
      </c>
      <c r="H7" s="27" t="str">
        <f t="shared" si="2"/>
        <v>Monthly Payment</v>
      </c>
      <c r="I7" s="30">
        <f>PMT(I$5/I$6, I$4*I$6, -I$3)</f>
        <v>6034.1990002018929</v>
      </c>
      <c r="K7" s="27" t="s">
        <v>31</v>
      </c>
      <c r="L7" s="32">
        <f>PMT(L$5/L$6, L$4*L$6, -L$3)</f>
        <v>15028.461446717823</v>
      </c>
    </row>
    <row r="8" spans="2:12" ht="15" thickBot="1" x14ac:dyDescent="0.4">
      <c r="B8" s="35" t="str">
        <f t="shared" si="0"/>
        <v>Annual DS</v>
      </c>
      <c r="C8" s="33">
        <f>C6*C7</f>
        <v>368118.62047500117</v>
      </c>
      <c r="E8" s="35" t="str">
        <f t="shared" si="1"/>
        <v>Annual DS</v>
      </c>
      <c r="F8" s="33">
        <f>F6*F7</f>
        <v>226454.80372813117</v>
      </c>
      <c r="H8" s="34" t="str">
        <f t="shared" si="2"/>
        <v>Annual DS</v>
      </c>
      <c r="I8" s="33">
        <f>I6*I7</f>
        <v>72410.388002422711</v>
      </c>
      <c r="K8" s="31" t="s">
        <v>32</v>
      </c>
      <c r="L8" s="33">
        <f>L6*L7</f>
        <v>180341.53736061387</v>
      </c>
    </row>
    <row r="10" spans="2:12" ht="15" thickBot="1" x14ac:dyDescent="0.4"/>
    <row r="11" spans="2:12" x14ac:dyDescent="0.35">
      <c r="B11" s="38" t="str">
        <f>B2</f>
        <v>OG 5th 3rd LOC I/O for 12 Months</v>
      </c>
      <c r="C11" s="44" t="s">
        <v>35</v>
      </c>
      <c r="H11" s="49"/>
    </row>
    <row r="12" spans="2:12" x14ac:dyDescent="0.35">
      <c r="B12" s="27" t="str">
        <f>B3</f>
        <v>Original Principal</v>
      </c>
      <c r="C12" s="45">
        <f>C3</f>
        <v>2000000</v>
      </c>
      <c r="I12" s="50"/>
    </row>
    <row r="13" spans="2:12" x14ac:dyDescent="0.35">
      <c r="B13" s="27" t="str">
        <f t="shared" ref="B13:B17" si="3">B4</f>
        <v>Term (Years)</v>
      </c>
      <c r="C13" s="46"/>
      <c r="I13" s="50"/>
    </row>
    <row r="14" spans="2:12" x14ac:dyDescent="0.35">
      <c r="B14" s="27" t="str">
        <f t="shared" si="3"/>
        <v>Rate</v>
      </c>
      <c r="C14" s="47">
        <f>C5</f>
        <v>7.4999999999999997E-2</v>
      </c>
      <c r="I14" s="50"/>
    </row>
    <row r="15" spans="2:12" x14ac:dyDescent="0.35">
      <c r="B15" s="27" t="str">
        <f t="shared" si="3"/>
        <v>Payments per Year</v>
      </c>
      <c r="C15" s="46">
        <f>C6</f>
        <v>12</v>
      </c>
      <c r="I15" s="50"/>
    </row>
    <row r="16" spans="2:12" x14ac:dyDescent="0.35">
      <c r="B16" s="27" t="str">
        <f t="shared" si="3"/>
        <v>Monthly Payment</v>
      </c>
      <c r="C16" s="45">
        <f>C17/12</f>
        <v>12500</v>
      </c>
      <c r="H16" s="51"/>
      <c r="I16" s="52"/>
    </row>
    <row r="17" spans="2:6" ht="15" thickBot="1" x14ac:dyDescent="0.4">
      <c r="B17" s="35" t="str">
        <f t="shared" si="3"/>
        <v>Annual DS</v>
      </c>
      <c r="C17" s="48">
        <f>C12*C14</f>
        <v>150000</v>
      </c>
    </row>
    <row r="18" spans="2:6" ht="15" thickBot="1" x14ac:dyDescent="0.4"/>
    <row r="19" spans="2:6" x14ac:dyDescent="0.35">
      <c r="B19" s="38" t="s">
        <v>37</v>
      </c>
      <c r="C19" s="37"/>
      <c r="E19" s="38" t="s">
        <v>36</v>
      </c>
      <c r="F19" s="37"/>
    </row>
    <row r="20" spans="2:6" x14ac:dyDescent="0.35">
      <c r="B20" s="27" t="str">
        <f>E20</f>
        <v>OG 5th 3rd LOC I/O for 12 Months</v>
      </c>
      <c r="C20" s="45">
        <f>C17</f>
        <v>150000</v>
      </c>
      <c r="E20" s="27" t="str">
        <f>B2</f>
        <v>OG 5th 3rd LOC I/O for 12 Months</v>
      </c>
      <c r="F20" s="32">
        <f>C8</f>
        <v>368118.62047500117</v>
      </c>
    </row>
    <row r="21" spans="2:6" x14ac:dyDescent="0.35">
      <c r="B21" s="27" t="str">
        <f>E21</f>
        <v>RE</v>
      </c>
      <c r="C21" s="32">
        <f>I8</f>
        <v>72410.388002422711</v>
      </c>
      <c r="E21" s="27" t="str">
        <f>H2</f>
        <v>RE</v>
      </c>
      <c r="F21" s="32">
        <f>I8</f>
        <v>72410.388002422711</v>
      </c>
    </row>
    <row r="22" spans="2:6" x14ac:dyDescent="0.35">
      <c r="B22" s="27" t="str">
        <f t="shared" ref="B22:B23" si="4">E22</f>
        <v>Seller Fin</v>
      </c>
      <c r="C22" s="32">
        <f>F8</f>
        <v>226454.80372813117</v>
      </c>
      <c r="E22" s="27" t="str">
        <f>E2</f>
        <v>Seller Fin</v>
      </c>
      <c r="F22" s="32">
        <f>F8</f>
        <v>226454.80372813117</v>
      </c>
    </row>
    <row r="23" spans="2:6" x14ac:dyDescent="0.35">
      <c r="B23" s="27" t="str">
        <f t="shared" si="4"/>
        <v>5th 3rd LOC/Loan</v>
      </c>
      <c r="C23" s="32">
        <f>L8</f>
        <v>180341.53736061387</v>
      </c>
      <c r="E23" s="27" t="str">
        <f>K2</f>
        <v>5th 3rd LOC/Loan</v>
      </c>
      <c r="F23" s="32">
        <f>L8</f>
        <v>180341.53736061387</v>
      </c>
    </row>
    <row r="24" spans="2:6" x14ac:dyDescent="0.35">
      <c r="B24" s="54" t="s">
        <v>39</v>
      </c>
      <c r="C24" s="55">
        <f>SUM(C20:C23)</f>
        <v>629206.72909116768</v>
      </c>
      <c r="E24" s="58" t="s">
        <v>38</v>
      </c>
      <c r="F24" s="59">
        <f>SUM(F20:F23)</f>
        <v>847325.34956616885</v>
      </c>
    </row>
    <row r="25" spans="2:6" ht="15" thickBot="1" x14ac:dyDescent="0.4">
      <c r="B25" s="56" t="s">
        <v>40</v>
      </c>
      <c r="C25" s="57">
        <f>C24/12</f>
        <v>52433.89409093064</v>
      </c>
      <c r="E25" s="60" t="s">
        <v>41</v>
      </c>
      <c r="F25" s="61">
        <f>F24/12</f>
        <v>70610.445797180742</v>
      </c>
    </row>
  </sheetData>
  <mergeCells count="3">
    <mergeCell ref="K2:L2"/>
    <mergeCell ref="H2:I2"/>
    <mergeCell ref="E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F3EA-AACD-426A-879A-CFE4E738020A}">
  <dimension ref="B2:Q18"/>
  <sheetViews>
    <sheetView workbookViewId="0">
      <selection activeCell="M16" sqref="M16"/>
    </sheetView>
  </sheetViews>
  <sheetFormatPr defaultRowHeight="14.5" x14ac:dyDescent="0.35"/>
  <cols>
    <col min="2" max="2" width="14.26953125" customWidth="1"/>
    <col min="3" max="3" width="14.36328125" style="4" customWidth="1"/>
    <col min="4" max="4" width="3.81640625" style="104" customWidth="1"/>
    <col min="5" max="5" width="14.26953125" style="4" customWidth="1"/>
    <col min="6" max="6" width="3.81640625" style="104" customWidth="1"/>
    <col min="7" max="7" width="14.26953125" style="4" customWidth="1"/>
    <col min="8" max="8" width="3.81640625" style="104" customWidth="1"/>
    <col min="9" max="9" width="14.26953125" style="4" customWidth="1"/>
    <col min="10" max="10" width="3.81640625" style="104" customWidth="1"/>
    <col min="11" max="11" width="14.26953125" style="4" customWidth="1"/>
    <col min="12" max="12" width="3.81640625" style="104" customWidth="1"/>
    <col min="13" max="13" width="14.26953125" style="4" customWidth="1"/>
    <col min="14" max="14" width="3.81640625" style="104" customWidth="1"/>
    <col min="15" max="15" width="14.26953125" style="4" customWidth="1"/>
    <col min="16" max="16" width="3.81640625" style="104" customWidth="1"/>
    <col min="17" max="17" width="10.54296875" bestFit="1" customWidth="1"/>
  </cols>
  <sheetData>
    <row r="2" spans="2:17" x14ac:dyDescent="0.35">
      <c r="B2" s="93" t="s">
        <v>46</v>
      </c>
      <c r="C2" s="96">
        <v>2019</v>
      </c>
      <c r="D2" s="102"/>
      <c r="E2" s="96">
        <v>2020</v>
      </c>
      <c r="F2" s="102"/>
      <c r="G2" s="96">
        <v>2021</v>
      </c>
      <c r="H2" s="102"/>
      <c r="I2" s="96">
        <v>2022</v>
      </c>
      <c r="J2" s="102"/>
      <c r="K2" s="96">
        <v>2023</v>
      </c>
      <c r="L2" s="102"/>
      <c r="M2" s="96">
        <v>2024</v>
      </c>
      <c r="N2" s="102"/>
      <c r="O2" s="96" t="s">
        <v>47</v>
      </c>
      <c r="P2" s="102"/>
    </row>
    <row r="3" spans="2:17" x14ac:dyDescent="0.35">
      <c r="B3" s="94" t="s">
        <v>48</v>
      </c>
      <c r="C3" s="97">
        <v>3500693</v>
      </c>
      <c r="D3" s="103"/>
      <c r="E3" s="97">
        <v>761769</v>
      </c>
      <c r="F3" s="103"/>
      <c r="G3" s="97">
        <f>1872696</f>
        <v>1872696</v>
      </c>
      <c r="H3" s="103"/>
      <c r="I3" s="97">
        <v>2953728</v>
      </c>
      <c r="J3" s="103"/>
      <c r="K3" s="97">
        <v>3314500</v>
      </c>
      <c r="L3" s="103"/>
      <c r="M3" s="97">
        <v>3530489</v>
      </c>
      <c r="N3" s="103"/>
      <c r="O3" s="97">
        <f>2704628</f>
        <v>2704628</v>
      </c>
      <c r="P3" s="103"/>
      <c r="Q3" s="50"/>
    </row>
    <row r="4" spans="2:17" x14ac:dyDescent="0.35">
      <c r="B4" s="94" t="s">
        <v>49</v>
      </c>
      <c r="C4" s="97">
        <v>1384314</v>
      </c>
      <c r="D4" s="103"/>
      <c r="E4" s="97">
        <v>312564</v>
      </c>
      <c r="F4" s="103"/>
      <c r="G4" s="97">
        <v>615758</v>
      </c>
      <c r="H4" s="103"/>
      <c r="I4" s="97">
        <v>1095888</v>
      </c>
      <c r="J4" s="103"/>
      <c r="K4" s="97">
        <v>1172675</v>
      </c>
      <c r="L4" s="103"/>
      <c r="M4" s="97">
        <v>1221945</v>
      </c>
      <c r="N4" s="103"/>
      <c r="O4" s="97">
        <f>864814</f>
        <v>864814</v>
      </c>
      <c r="P4" s="103"/>
      <c r="Q4" s="50"/>
    </row>
    <row r="5" spans="2:17" x14ac:dyDescent="0.35">
      <c r="B5" s="95" t="s">
        <v>50</v>
      </c>
      <c r="C5" s="99">
        <f>C3-C4</f>
        <v>2116379</v>
      </c>
      <c r="D5" s="103">
        <f>C5/C3</f>
        <v>0.60456001140345639</v>
      </c>
      <c r="E5" s="99">
        <f t="shared" ref="E5:O5" si="0">E3-E4</f>
        <v>449205</v>
      </c>
      <c r="F5" s="103">
        <f>E5/E3</f>
        <v>0.58968663728768167</v>
      </c>
      <c r="G5" s="99">
        <f t="shared" si="0"/>
        <v>1256938</v>
      </c>
      <c r="H5" s="103">
        <f>G5/G3</f>
        <v>0.67119169368653531</v>
      </c>
      <c r="I5" s="99">
        <f t="shared" si="0"/>
        <v>1857840</v>
      </c>
      <c r="J5" s="103">
        <f>I5/I3</f>
        <v>0.62898140925637025</v>
      </c>
      <c r="K5" s="99">
        <f t="shared" si="0"/>
        <v>2141825</v>
      </c>
      <c r="L5" s="103">
        <f>K5/K3</f>
        <v>0.64619852164730729</v>
      </c>
      <c r="M5" s="99">
        <f t="shared" si="0"/>
        <v>2308544</v>
      </c>
      <c r="N5" s="103">
        <f>M5/M3</f>
        <v>0.65388788918475604</v>
      </c>
      <c r="O5" s="99">
        <f t="shared" si="0"/>
        <v>1839814</v>
      </c>
      <c r="P5" s="103">
        <f>O5/O3</f>
        <v>0.68024659953235711</v>
      </c>
    </row>
    <row r="6" spans="2:17" x14ac:dyDescent="0.35">
      <c r="B6" s="94" t="s">
        <v>51</v>
      </c>
      <c r="C6" s="97">
        <v>1660864</v>
      </c>
      <c r="D6" s="103">
        <f>C6/C3</f>
        <v>0.47443863257932073</v>
      </c>
      <c r="E6" s="97">
        <v>463046</v>
      </c>
      <c r="F6" s="103">
        <f>E6/E3</f>
        <v>0.60785618737438774</v>
      </c>
      <c r="G6" s="97">
        <v>540143</v>
      </c>
      <c r="H6" s="103">
        <f>G6/G3</f>
        <v>0.28843069029890595</v>
      </c>
      <c r="I6" s="97">
        <v>1090632</v>
      </c>
      <c r="J6" s="103">
        <f>I6/I3</f>
        <v>0.36923914456578261</v>
      </c>
      <c r="K6" s="97">
        <v>1231856</v>
      </c>
      <c r="L6" s="103">
        <f>K6/K3</f>
        <v>0.37165666012973297</v>
      </c>
      <c r="M6" s="97">
        <v>1161656</v>
      </c>
      <c r="N6" s="103">
        <f>M6/M3</f>
        <v>0.32903543956658693</v>
      </c>
      <c r="O6" s="97">
        <v>979854</v>
      </c>
      <c r="P6" s="103">
        <f>O6/O3</f>
        <v>0.36228790059113491</v>
      </c>
    </row>
    <row r="7" spans="2:17" x14ac:dyDescent="0.35">
      <c r="B7" s="95" t="s">
        <v>52</v>
      </c>
      <c r="C7" s="99">
        <f>C5-C6</f>
        <v>455515</v>
      </c>
      <c r="D7" s="103">
        <f>C7/C3</f>
        <v>0.13012137882413569</v>
      </c>
      <c r="E7" s="99">
        <f t="shared" ref="E7:O7" si="1">E5-E6</f>
        <v>-13841</v>
      </c>
      <c r="F7" s="103">
        <f>E7/E3</f>
        <v>-1.8169550086706076E-2</v>
      </c>
      <c r="G7" s="99">
        <f t="shared" si="1"/>
        <v>716795</v>
      </c>
      <c r="H7" s="103">
        <f>G7/G3</f>
        <v>0.38276100338762936</v>
      </c>
      <c r="I7" s="99">
        <f t="shared" si="1"/>
        <v>767208</v>
      </c>
      <c r="J7" s="103">
        <f>I7/I3</f>
        <v>0.25974226469058764</v>
      </c>
      <c r="K7" s="99">
        <f t="shared" si="1"/>
        <v>909969</v>
      </c>
      <c r="L7" s="103">
        <f>K7/K3</f>
        <v>0.27454186151757431</v>
      </c>
      <c r="M7" s="99">
        <f t="shared" si="1"/>
        <v>1146888</v>
      </c>
      <c r="N7" s="103">
        <f>M7/M3</f>
        <v>0.32485244961816906</v>
      </c>
      <c r="O7" s="99">
        <f t="shared" si="1"/>
        <v>859960</v>
      </c>
      <c r="P7" s="103">
        <f>O7/O3</f>
        <v>0.31795869894122225</v>
      </c>
    </row>
    <row r="8" spans="2:17" x14ac:dyDescent="0.35">
      <c r="B8" s="94" t="s">
        <v>53</v>
      </c>
      <c r="C8" s="97">
        <f>109000</f>
        <v>109000</v>
      </c>
      <c r="D8" s="103"/>
      <c r="E8" s="97">
        <f>36333</f>
        <v>36333</v>
      </c>
      <c r="F8" s="103"/>
      <c r="G8" s="97">
        <f>49958</f>
        <v>49958</v>
      </c>
      <c r="H8" s="103"/>
      <c r="I8" s="97">
        <v>115358</v>
      </c>
      <c r="J8" s="103"/>
      <c r="K8" s="97">
        <v>130800</v>
      </c>
      <c r="L8" s="103"/>
      <c r="M8" s="97">
        <v>187467</v>
      </c>
      <c r="N8" s="103"/>
      <c r="O8" s="101">
        <f>339141</f>
        <v>339141</v>
      </c>
      <c r="P8" s="103"/>
    </row>
    <row r="9" spans="2:17" x14ac:dyDescent="0.35">
      <c r="B9" s="94" t="s">
        <v>54</v>
      </c>
      <c r="C9" s="97">
        <v>29436</v>
      </c>
      <c r="D9" s="103"/>
      <c r="E9" s="97">
        <v>13076</v>
      </c>
      <c r="F9" s="103"/>
      <c r="G9" s="97">
        <v>11480.83</v>
      </c>
      <c r="H9" s="103"/>
      <c r="I9" s="97">
        <v>10243</v>
      </c>
      <c r="J9" s="103"/>
      <c r="K9" s="97">
        <v>7147</v>
      </c>
      <c r="L9" s="103"/>
      <c r="M9" s="97">
        <v>287</v>
      </c>
      <c r="N9" s="103"/>
      <c r="O9" s="97">
        <v>29625</v>
      </c>
      <c r="P9" s="103"/>
    </row>
    <row r="10" spans="2:17" x14ac:dyDescent="0.35">
      <c r="B10" s="94" t="s">
        <v>55</v>
      </c>
      <c r="C10" s="97">
        <v>662899</v>
      </c>
      <c r="D10" s="103"/>
      <c r="E10" s="97">
        <v>19469</v>
      </c>
      <c r="F10" s="103"/>
      <c r="G10" s="97">
        <v>10000</v>
      </c>
      <c r="H10" s="103"/>
      <c r="I10" s="97">
        <v>0</v>
      </c>
      <c r="J10" s="103"/>
      <c r="K10" s="97">
        <v>4000</v>
      </c>
      <c r="L10" s="103"/>
      <c r="M10" s="97">
        <v>0</v>
      </c>
      <c r="N10" s="103"/>
      <c r="O10" s="97">
        <v>0</v>
      </c>
      <c r="P10" s="103"/>
    </row>
    <row r="11" spans="2:17" x14ac:dyDescent="0.35">
      <c r="B11" s="95" t="s">
        <v>56</v>
      </c>
      <c r="C11" s="100">
        <f>C7+C8+C9+C10</f>
        <v>1256850</v>
      </c>
      <c r="D11" s="104">
        <f>C11/C3</f>
        <v>0.35902891227536948</v>
      </c>
      <c r="E11" s="100">
        <f>E7+E8+E9+E10</f>
        <v>55037</v>
      </c>
      <c r="F11" s="104">
        <f>E11/E3</f>
        <v>7.2248936357347179E-2</v>
      </c>
      <c r="G11" s="100">
        <f>G7+G8+G9+G10</f>
        <v>788233.83</v>
      </c>
      <c r="H11" s="104">
        <f>G11/G3</f>
        <v>0.42090858847351625</v>
      </c>
      <c r="I11" s="100">
        <f>I7+I8+I9+I10</f>
        <v>892809</v>
      </c>
      <c r="J11" s="104">
        <f>I11/I3</f>
        <v>0.30226513748049921</v>
      </c>
      <c r="K11" s="100">
        <f>K7+K8+K9+K10</f>
        <v>1051916</v>
      </c>
      <c r="L11" s="104">
        <f>K11/K3</f>
        <v>0.31736792879770703</v>
      </c>
      <c r="M11" s="100">
        <f>M7+M8+M9+M10</f>
        <v>1334642</v>
      </c>
      <c r="N11" s="104">
        <f>M11/M3</f>
        <v>0.37803318463816205</v>
      </c>
      <c r="O11" s="100">
        <f>O7+O8+O9+O10</f>
        <v>1228726</v>
      </c>
      <c r="P11" s="104">
        <f>O11/O3</f>
        <v>0.45430499129640012</v>
      </c>
    </row>
    <row r="14" spans="2:17" x14ac:dyDescent="0.35">
      <c r="O14" s="98"/>
    </row>
    <row r="15" spans="2:17" x14ac:dyDescent="0.35">
      <c r="K15" s="4">
        <v>5000000</v>
      </c>
      <c r="M15" s="107">
        <f>K15/M11</f>
        <v>3.7463229839912127</v>
      </c>
    </row>
    <row r="16" spans="2:17" x14ac:dyDescent="0.35">
      <c r="K16" s="4">
        <v>5200000</v>
      </c>
      <c r="M16" s="119">
        <f>K16/M11</f>
        <v>3.8961759033508612</v>
      </c>
    </row>
    <row r="17" spans="11:13" x14ac:dyDescent="0.35">
      <c r="K17" s="107">
        <f>K16/M11</f>
        <v>3.8961759033508612</v>
      </c>
      <c r="M17" s="118"/>
    </row>
    <row r="18" spans="11:13" x14ac:dyDescent="0.35">
      <c r="M18" s="11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8F73-7964-4623-8D7F-68021BFFE250}">
  <dimension ref="A2:M37"/>
  <sheetViews>
    <sheetView showGridLines="0" zoomScale="60" zoomScaleNormal="60" workbookViewId="0">
      <selection activeCell="D7" sqref="D7"/>
    </sheetView>
  </sheetViews>
  <sheetFormatPr defaultRowHeight="14.5" x14ac:dyDescent="0.35"/>
  <cols>
    <col min="1" max="1" width="13.54296875" customWidth="1"/>
    <col min="2" max="2" width="32.81640625" customWidth="1"/>
    <col min="3" max="3" width="10.1796875" customWidth="1"/>
    <col min="4" max="4" width="20.08984375" style="1" customWidth="1"/>
    <col min="5" max="5" width="27" style="4" customWidth="1"/>
    <col min="6" max="6" width="27.08984375" style="4" customWidth="1"/>
    <col min="8" max="8" width="28.81640625" customWidth="1"/>
    <col min="9" max="9" width="14.26953125" style="5" customWidth="1"/>
    <col min="10" max="10" width="13.08984375" style="4" customWidth="1"/>
    <col min="11" max="13" width="13.7265625" style="4" customWidth="1"/>
  </cols>
  <sheetData>
    <row r="2" spans="2:13" x14ac:dyDescent="0.35">
      <c r="I2" s="5" t="s">
        <v>9</v>
      </c>
      <c r="J2" s="5" t="s">
        <v>10</v>
      </c>
      <c r="K2" s="5" t="s">
        <v>13</v>
      </c>
      <c r="L2" s="5" t="s">
        <v>14</v>
      </c>
      <c r="M2" s="5" t="s">
        <v>15</v>
      </c>
    </row>
    <row r="4" spans="2:13" x14ac:dyDescent="0.35">
      <c r="C4" t="s">
        <v>0</v>
      </c>
    </row>
    <row r="5" spans="2:13" x14ac:dyDescent="0.35">
      <c r="B5" t="s">
        <v>27</v>
      </c>
      <c r="C5" s="3">
        <v>7.4999999999999997E-2</v>
      </c>
      <c r="D5" s="10">
        <v>2000000</v>
      </c>
      <c r="E5" s="8" t="s">
        <v>24</v>
      </c>
      <c r="F5" s="8" t="s">
        <v>25</v>
      </c>
      <c r="H5" t="str">
        <f>B5</f>
        <v>OG 5th 3rd LOC I/O for 12 Months</v>
      </c>
      <c r="I5" s="8">
        <f>12500*12</f>
        <v>150000</v>
      </c>
      <c r="J5" s="8">
        <f>30677*12</f>
        <v>368124</v>
      </c>
      <c r="K5" s="8">
        <f>30677*12</f>
        <v>368124</v>
      </c>
      <c r="L5" s="8">
        <f>30677*12</f>
        <v>368124</v>
      </c>
      <c r="M5" s="8">
        <f>30677*12</f>
        <v>368124</v>
      </c>
    </row>
    <row r="6" spans="2:13" x14ac:dyDescent="0.35">
      <c r="B6" t="s">
        <v>4</v>
      </c>
      <c r="C6" s="3">
        <v>6.8000000000000005E-2</v>
      </c>
      <c r="D6" s="10">
        <f>E6*F6</f>
        <v>790500</v>
      </c>
      <c r="E6" s="8">
        <f>930000</f>
        <v>930000</v>
      </c>
      <c r="F6" s="19">
        <v>0.85</v>
      </c>
      <c r="H6" t="str">
        <f t="shared" ref="H6:H8" si="0">B6</f>
        <v>RE</v>
      </c>
      <c r="I6" s="8">
        <f>'Per Loan'!I8</f>
        <v>72410.388002422711</v>
      </c>
      <c r="J6" s="8">
        <f t="shared" ref="J6:M7" si="1">I6</f>
        <v>72410.388002422711</v>
      </c>
      <c r="K6" s="8">
        <f t="shared" si="1"/>
        <v>72410.388002422711</v>
      </c>
      <c r="L6" s="8">
        <f t="shared" si="1"/>
        <v>72410.388002422711</v>
      </c>
      <c r="M6" s="8">
        <f t="shared" si="1"/>
        <v>72410.388002422711</v>
      </c>
    </row>
    <row r="7" spans="2:13" x14ac:dyDescent="0.35">
      <c r="B7" t="s">
        <v>2</v>
      </c>
      <c r="C7" s="2">
        <v>0.05</v>
      </c>
      <c r="D7" s="10">
        <v>1000000</v>
      </c>
      <c r="E7" s="8"/>
      <c r="F7" s="8"/>
      <c r="H7" t="str">
        <f t="shared" si="0"/>
        <v>Seller Fin</v>
      </c>
      <c r="I7" s="8">
        <f>'Per Loan'!$F$8</f>
        <v>226454.80372813117</v>
      </c>
      <c r="J7" s="8">
        <f t="shared" si="1"/>
        <v>226454.80372813117</v>
      </c>
      <c r="K7" s="8">
        <f t="shared" si="1"/>
        <v>226454.80372813117</v>
      </c>
      <c r="L7" s="8">
        <f t="shared" si="1"/>
        <v>226454.80372813117</v>
      </c>
      <c r="M7" s="8">
        <f t="shared" si="1"/>
        <v>226454.80372813117</v>
      </c>
    </row>
    <row r="8" spans="2:13" x14ac:dyDescent="0.35">
      <c r="B8" t="s">
        <v>45</v>
      </c>
      <c r="C8" s="26">
        <f>C5</f>
        <v>7.4999999999999997E-2</v>
      </c>
      <c r="D8" s="10">
        <v>750000</v>
      </c>
      <c r="E8" s="8"/>
      <c r="F8" s="8"/>
      <c r="H8" t="str">
        <f t="shared" si="0"/>
        <v>5th 3rd LOC/Loan</v>
      </c>
      <c r="I8" s="8">
        <f>'Per Loan'!$L$8</f>
        <v>180341.53736061387</v>
      </c>
      <c r="J8" s="8">
        <f>'Per Loan'!$L$8</f>
        <v>180341.53736061387</v>
      </c>
      <c r="K8" s="8">
        <f>'Per Loan'!$L$8</f>
        <v>180341.53736061387</v>
      </c>
      <c r="L8" s="8">
        <f>'Per Loan'!$L$8</f>
        <v>180341.53736061387</v>
      </c>
      <c r="M8" s="8">
        <f>'Per Loan'!$L$8</f>
        <v>180341.53736061387</v>
      </c>
    </row>
    <row r="9" spans="2:13" x14ac:dyDescent="0.35">
      <c r="D9" s="10"/>
      <c r="E9" s="8"/>
      <c r="F9" s="8"/>
      <c r="H9" s="39" t="s">
        <v>11</v>
      </c>
      <c r="I9" s="41">
        <f>SUM(I5:I8)</f>
        <v>629206.72909116768</v>
      </c>
      <c r="J9" s="41">
        <f t="shared" ref="J9:M9" si="2">SUM(J5:J8)</f>
        <v>847330.72909116768</v>
      </c>
      <c r="K9" s="41">
        <f t="shared" si="2"/>
        <v>847330.72909116768</v>
      </c>
      <c r="L9" s="41">
        <f t="shared" si="2"/>
        <v>847330.72909116768</v>
      </c>
      <c r="M9" s="41">
        <f t="shared" si="2"/>
        <v>847330.72909116768</v>
      </c>
    </row>
    <row r="10" spans="2:13" x14ac:dyDescent="0.35">
      <c r="D10" s="11" t="s">
        <v>5</v>
      </c>
      <c r="E10" s="11" t="s">
        <v>6</v>
      </c>
      <c r="F10" s="11" t="s">
        <v>7</v>
      </c>
      <c r="H10" s="7" t="s">
        <v>16</v>
      </c>
      <c r="I10" s="8">
        <v>1430000</v>
      </c>
      <c r="J10" s="8">
        <f>I10*1.03</f>
        <v>1472900</v>
      </c>
      <c r="K10" s="8">
        <f>J10*1.03</f>
        <v>1517087</v>
      </c>
      <c r="L10" s="8">
        <f>K10*1.03</f>
        <v>1562599.61</v>
      </c>
      <c r="M10" s="8">
        <f>L10*1.03</f>
        <v>1609477.5983000002</v>
      </c>
    </row>
    <row r="11" spans="2:13" x14ac:dyDescent="0.35">
      <c r="D11" s="12">
        <v>5000000</v>
      </c>
      <c r="E11" s="13">
        <v>900000</v>
      </c>
      <c r="F11" s="12">
        <f>D11-E11</f>
        <v>4100000</v>
      </c>
      <c r="H11" s="7" t="s">
        <v>12</v>
      </c>
      <c r="I11" s="8">
        <f>I10-I9</f>
        <v>800793.27090883232</v>
      </c>
      <c r="J11" s="8">
        <f>J10-J9</f>
        <v>625569.27090883232</v>
      </c>
      <c r="K11" s="8">
        <f>K10-K9</f>
        <v>669756.27090883232</v>
      </c>
      <c r="L11" s="8">
        <f>L10-L9</f>
        <v>715268.88090883242</v>
      </c>
      <c r="M11" s="8">
        <f>M10-M9</f>
        <v>762146.8692088325</v>
      </c>
    </row>
    <row r="12" spans="2:13" x14ac:dyDescent="0.35">
      <c r="B12" s="6" t="s">
        <v>21</v>
      </c>
      <c r="D12" s="8"/>
      <c r="E12" s="14"/>
      <c r="F12" s="8"/>
      <c r="H12" s="39" t="s">
        <v>33</v>
      </c>
      <c r="I12" s="40">
        <f>I10/I9</f>
        <v>2.2727029669016825</v>
      </c>
      <c r="J12" s="40">
        <f t="shared" ref="J12:M12" si="3">J10/J9</f>
        <v>1.7382822898206549</v>
      </c>
      <c r="K12" s="40">
        <f t="shared" si="3"/>
        <v>1.7904307585152746</v>
      </c>
      <c r="L12" s="40">
        <f t="shared" si="3"/>
        <v>1.844143681270733</v>
      </c>
      <c r="M12" s="40">
        <f t="shared" si="3"/>
        <v>1.8994679917088551</v>
      </c>
    </row>
    <row r="13" spans="2:13" x14ac:dyDescent="0.35">
      <c r="B13" s="21">
        <f>(F13/F21)*C5</f>
        <v>3.3036009250082592E-2</v>
      </c>
      <c r="C13" t="s">
        <v>26</v>
      </c>
      <c r="D13" s="10"/>
      <c r="E13" s="8"/>
      <c r="F13" s="8">
        <f>D5</f>
        <v>2000000</v>
      </c>
      <c r="H13" s="17" t="s">
        <v>17</v>
      </c>
      <c r="I13" s="18">
        <f>I11/$F$19</f>
        <v>1.7427492293989821</v>
      </c>
      <c r="J13" s="18">
        <f>(J11+I11)/$F$19</f>
        <v>3.1041622237598796</v>
      </c>
      <c r="K13" s="18">
        <f>(I11+K11+J11)/$F$19</f>
        <v>4.5617384390130509</v>
      </c>
      <c r="L13" s="18">
        <f>(I11+J11+L11+K11)/$F$19</f>
        <v>6.1183627717852653</v>
      </c>
      <c r="M13" s="18">
        <f>(I11+J11+K11+M11+L11)/$F$19</f>
        <v>7.7770066656020935</v>
      </c>
    </row>
    <row r="14" spans="2:13" x14ac:dyDescent="0.35">
      <c r="B14" s="21">
        <f>(E14/F21)*C6</f>
        <v>1.1838784274859598E-2</v>
      </c>
      <c r="C14" t="s">
        <v>1</v>
      </c>
      <c r="D14" s="10"/>
      <c r="E14" s="8">
        <f>E6*F6</f>
        <v>790500</v>
      </c>
      <c r="F14" s="8"/>
      <c r="H14" s="17"/>
      <c r="I14" s="18">
        <f>((F19/D11)*I23)+((F21/D11)*B21*(1-B22))</f>
        <v>6.2765632000000016E-2</v>
      </c>
      <c r="J14" s="18">
        <f>((F19/D11)*I23)+((F21/D11)*B21*(1-B22))</f>
        <v>6.2765632000000016E-2</v>
      </c>
      <c r="K14" s="18">
        <f>((F19/D11)*I23)+((F21/D11)*B21*(1-B22))</f>
        <v>6.2765632000000016E-2</v>
      </c>
      <c r="L14" s="18">
        <f>((F19/D11)*I23)+((F21/D11)*B21*(1-B22))</f>
        <v>6.2765632000000016E-2</v>
      </c>
      <c r="M14" s="18">
        <f>((F19/D11)*I23)+((F21/D11)*B21*(1-B22))</f>
        <v>6.2765632000000016E-2</v>
      </c>
    </row>
    <row r="15" spans="2:13" x14ac:dyDescent="0.35">
      <c r="B15" s="21">
        <f>(F15/F21)*C7</f>
        <v>1.1012003083360864E-2</v>
      </c>
      <c r="C15" t="s">
        <v>2</v>
      </c>
      <c r="D15" s="10"/>
      <c r="E15" s="8"/>
      <c r="F15" s="15">
        <f>D7</f>
        <v>1000000</v>
      </c>
    </row>
    <row r="16" spans="2:13" x14ac:dyDescent="0.35">
      <c r="B16" s="21">
        <f>(F16/F21)*C8</f>
        <v>1.2388503468780969E-2</v>
      </c>
      <c r="C16" t="str">
        <f>B8</f>
        <v>5th 3rd LOC/Loan</v>
      </c>
      <c r="D16" s="10"/>
      <c r="E16" s="8"/>
      <c r="F16" s="15">
        <f>D8</f>
        <v>750000</v>
      </c>
    </row>
    <row r="17" spans="1:11" x14ac:dyDescent="0.35">
      <c r="B17" s="22"/>
      <c r="D17" s="16"/>
      <c r="E17" s="9">
        <f>E11-E14</f>
        <v>109500</v>
      </c>
      <c r="F17" s="9">
        <f>F11-F13-F15-F16</f>
        <v>350000</v>
      </c>
    </row>
    <row r="18" spans="1:11" x14ac:dyDescent="0.35">
      <c r="B18" s="22"/>
      <c r="D18" s="10"/>
      <c r="E18" s="8"/>
      <c r="F18" s="8"/>
      <c r="H18" t="s">
        <v>44</v>
      </c>
    </row>
    <row r="19" spans="1:11" x14ac:dyDescent="0.35">
      <c r="B19" s="22"/>
      <c r="D19" s="10"/>
      <c r="E19" s="8" t="s">
        <v>3</v>
      </c>
      <c r="F19" s="8">
        <f>F17+E17</f>
        <v>459500</v>
      </c>
    </row>
    <row r="20" spans="1:11" x14ac:dyDescent="0.35">
      <c r="B20" s="22"/>
      <c r="D20" s="10"/>
      <c r="E20" s="8"/>
      <c r="F20" s="8"/>
    </row>
    <row r="21" spans="1:11" x14ac:dyDescent="0.35">
      <c r="B21" s="23">
        <f>SUM(B13:B16)</f>
        <v>6.8275300077084031E-2</v>
      </c>
      <c r="D21" s="10"/>
      <c r="E21" s="8" t="s">
        <v>8</v>
      </c>
      <c r="F21" s="8">
        <f>F13+E14+F15+F16</f>
        <v>4540500</v>
      </c>
      <c r="H21" t="s">
        <v>18</v>
      </c>
      <c r="I21" s="20">
        <f>F19/D11</f>
        <v>9.1899999999999996E-2</v>
      </c>
      <c r="K21" s="4">
        <v>5400000</v>
      </c>
    </row>
    <row r="22" spans="1:11" x14ac:dyDescent="0.35">
      <c r="A22" t="s">
        <v>22</v>
      </c>
      <c r="B22" s="19">
        <v>0.21</v>
      </c>
      <c r="H22" t="s">
        <v>19</v>
      </c>
      <c r="I22" s="20">
        <f>F21/D11</f>
        <v>0.90810000000000002</v>
      </c>
      <c r="K22" s="5">
        <f>I10/K21</f>
        <v>0.26481481481481484</v>
      </c>
    </row>
    <row r="23" spans="1:11" x14ac:dyDescent="0.35">
      <c r="A23" t="s">
        <v>23</v>
      </c>
      <c r="B23" s="24">
        <f>B21*(1-B22)</f>
        <v>5.3937487060896384E-2</v>
      </c>
      <c r="H23" t="s">
        <v>20</v>
      </c>
      <c r="I23" s="20">
        <v>0.15</v>
      </c>
    </row>
    <row r="26" spans="1:11" x14ac:dyDescent="0.35">
      <c r="F26" s="20">
        <f>((1256000/5200000)*0.15)+((3944000/5200000)*0.0663*(1-0.21))</f>
        <v>7.595670923076922E-2</v>
      </c>
    </row>
    <row r="30" spans="1:11" x14ac:dyDescent="0.35">
      <c r="D30" s="1">
        <f>84/12</f>
        <v>7</v>
      </c>
      <c r="F30" s="8">
        <f>F21+F19</f>
        <v>5000000</v>
      </c>
    </row>
    <row r="37" spans="3:3" x14ac:dyDescent="0.35">
      <c r="C37">
        <f>75-20</f>
        <v>55</v>
      </c>
    </row>
  </sheetData>
  <phoneticPr fontId="2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Display</vt:lpstr>
      <vt:lpstr>Per Loan</vt:lpstr>
      <vt:lpstr>Buckeye P&amp;L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Culp</dc:creator>
  <cp:lastModifiedBy>Elliott Culp</cp:lastModifiedBy>
  <dcterms:created xsi:type="dcterms:W3CDTF">2025-09-19T10:09:47Z</dcterms:created>
  <dcterms:modified xsi:type="dcterms:W3CDTF">2025-10-24T14:52:30Z</dcterms:modified>
</cp:coreProperties>
</file>